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OSPanel_new\domains\pegas-crm-new-git\dev-1\pegas-tech\public\doc\"/>
    </mc:Choice>
  </mc:AlternateContent>
  <xr:revisionPtr revIDLastSave="0" documentId="13_ncr:1_{817AAED9-7B61-49DF-A432-7DB40857CD35}" xr6:coauthVersionLast="47" xr6:coauthVersionMax="47" xr10:uidLastSave="{00000000-0000-0000-0000-000000000000}"/>
  <bookViews>
    <workbookView xWindow="51480" yWindow="-120" windowWidth="29040" windowHeight="15840" xr2:uid="{00000000-000D-0000-FFFF-FFFF00000000}"/>
  </bookViews>
  <sheets>
    <sheet name="TDSheet" sheetId="1" r:id="rId1"/>
  </sheets>
  <definedNames>
    <definedName name="кому">TDSheet!$Y$1:$Y$7</definedName>
    <definedName name="Контрагенты">TDSheet!$Y$8:$Y$57</definedName>
  </definedNames>
  <calcPr calcId="191029"/>
</workbook>
</file>

<file path=xl/calcChain.xml><?xml version="1.0" encoding="utf-8"?>
<calcChain xmlns="http://schemas.openxmlformats.org/spreadsheetml/2006/main">
  <c r="G20" i="1" l="1"/>
  <c r="G19" i="1"/>
  <c r="X14" i="1" l="1"/>
  <c r="X13" i="1"/>
  <c r="X11" i="1"/>
  <c r="X8" i="1"/>
  <c r="X15" i="1" l="1"/>
  <c r="X16" i="1" s="1"/>
  <c r="X9" i="1" s="1"/>
</calcChain>
</file>

<file path=xl/sharedStrings.xml><?xml version="1.0" encoding="utf-8"?>
<sst xmlns="http://schemas.openxmlformats.org/spreadsheetml/2006/main" count="551" uniqueCount="527">
  <si>
    <t>Горбачёв Алексей Григорьевич</t>
  </si>
  <si>
    <t>1 отд. Милиции Серпуховского УВД МО</t>
  </si>
  <si>
    <t>6 декабря 2000 г.</t>
  </si>
  <si>
    <t>ИП Ермакова А.И.</t>
  </si>
  <si>
    <t>января</t>
  </si>
  <si>
    <t>Номер доверенности</t>
  </si>
  <si>
    <t>Дата выдачи</t>
  </si>
  <si>
    <t>Срок действия</t>
  </si>
  <si>
    <t>Должность и фамилия лица, которому выдана доверенность</t>
  </si>
  <si>
    <t>Расписка в получении доверенности</t>
  </si>
  <si>
    <t>Величко Алексей Михайлович</t>
  </si>
  <si>
    <t>ОВД г.Протвино Московской обл.</t>
  </si>
  <si>
    <t>25 января 2003 г.</t>
  </si>
  <si>
    <t>ООО "Трансмаш"</t>
  </si>
  <si>
    <t>февраля</t>
  </si>
  <si>
    <t>Некрюков Юрий Иванович</t>
  </si>
  <si>
    <t>ОВД Чеховского района, Московской области</t>
  </si>
  <si>
    <t>04 декабря 2002 г.</t>
  </si>
  <si>
    <t>ООО "Электротехнологии"</t>
  </si>
  <si>
    <t>марта</t>
  </si>
  <si>
    <t>Кулаков Максим Геннадьевич</t>
  </si>
  <si>
    <t>18 сентября 1999 г.</t>
  </si>
  <si>
    <t>ООО "ИТР"</t>
  </si>
  <si>
    <t>апреля</t>
  </si>
  <si>
    <t>Поставщик</t>
  </si>
  <si>
    <t>Номер и дата наряда (замещающего наряд документа) или извещения</t>
  </si>
  <si>
    <t>Номер и дата документа, подтверждающего выполнение поручения</t>
  </si>
  <si>
    <t>Иванов Карл Витальевич</t>
  </si>
  <si>
    <t>ОВД Боровского района, Калужской области</t>
  </si>
  <si>
    <t>11 декабря 2006 г.</t>
  </si>
  <si>
    <t>ООО "Элсан"</t>
  </si>
  <si>
    <t>мая</t>
  </si>
  <si>
    <t>Копылов Евгений Николаевич</t>
  </si>
  <si>
    <t>ОВД Жуковского района  Калужской области</t>
  </si>
  <si>
    <t>03  января 2002 г.</t>
  </si>
  <si>
    <t>ООО "Импекс"</t>
  </si>
  <si>
    <t>июня</t>
  </si>
  <si>
    <t>Дерновой Анатолий Васильевич</t>
  </si>
  <si>
    <t>19 февраля 2004 г.</t>
  </si>
  <si>
    <t>ООО "Юкел-пак"</t>
  </si>
  <si>
    <t>июля</t>
  </si>
  <si>
    <t>Линия отреза</t>
  </si>
  <si>
    <t>Иванов Вячеслав Петрович</t>
  </si>
  <si>
    <t>19 июня 2003 г.</t>
  </si>
  <si>
    <t>ООО "Авеста"</t>
  </si>
  <si>
    <t>августа</t>
  </si>
  <si>
    <t>Аверянов Юрий Сергеевич</t>
  </si>
  <si>
    <t>Отделом УФМС России МО г. Серпухова</t>
  </si>
  <si>
    <t>27 марта 2008</t>
  </si>
  <si>
    <t>ООО ТД "Бегемот"</t>
  </si>
  <si>
    <t>сентября</t>
  </si>
  <si>
    <t>Типовая межотраслевая форма № М-2</t>
  </si>
  <si>
    <t>Смыков Александр Сергеевич</t>
  </si>
  <si>
    <t>11 мая 2001 г.</t>
  </si>
  <si>
    <t>ООО "Электро Техническая Компания Провод"</t>
  </si>
  <si>
    <t>октября</t>
  </si>
  <si>
    <t>Утверждена постановлением Госкомстата России от 30.10.97 № 71а</t>
  </si>
  <si>
    <t>Дерябин Дмитрий Евгеньевич</t>
  </si>
  <si>
    <t>ОВД Г.Протвино Московской области</t>
  </si>
  <si>
    <t>24 декабря 2002 г.</t>
  </si>
  <si>
    <t>ООО ТК "ЮниТранс"</t>
  </si>
  <si>
    <t>ноября</t>
  </si>
  <si>
    <t>коды</t>
  </si>
  <si>
    <t>Филиппов Павел Петрович</t>
  </si>
  <si>
    <t>отделением УФМС России по Московской области г.Протвино</t>
  </si>
  <si>
    <t>08 июля 2010 г.</t>
  </si>
  <si>
    <t>ИП Бекренева А.И.</t>
  </si>
  <si>
    <t>декабря</t>
  </si>
  <si>
    <t>Форма по ОКУД</t>
  </si>
  <si>
    <t>Мотуз Артём Сергеевич</t>
  </si>
  <si>
    <t>отд. УФМС России по Тульской обл. Богородецкого р-на</t>
  </si>
  <si>
    <t>20 мая 2010 г.</t>
  </si>
  <si>
    <t>ООО "Аргос"</t>
  </si>
  <si>
    <t>Организация</t>
  </si>
  <si>
    <t>по ОКПО</t>
  </si>
  <si>
    <t>Дьячков Александр Сергеевич</t>
  </si>
  <si>
    <t>06 марта 2003 г.</t>
  </si>
  <si>
    <t>ООО "Промсервис-Центр"</t>
  </si>
  <si>
    <t>наименование организации</t>
  </si>
  <si>
    <t>Сальков Александр Алексеевич</t>
  </si>
  <si>
    <t>ТП в гор. Пущино ОУФМС России по Московской области</t>
  </si>
  <si>
    <t>26 июня 2009 г.</t>
  </si>
  <si>
    <t>ООО "ЗЛМК"</t>
  </si>
  <si>
    <t>Чабуркин Андрей Геннадьевич</t>
  </si>
  <si>
    <t>ОВД Жуковского района Калужской области</t>
  </si>
  <si>
    <t>30 октября 2002г</t>
  </si>
  <si>
    <t>ООО "Правовед"</t>
  </si>
  <si>
    <t>ДОВЕРЕННОСТЬ №</t>
  </si>
  <si>
    <t>Блинов Владимир Геннадьевич</t>
  </si>
  <si>
    <t>4600</t>
  </si>
  <si>
    <t>480597</t>
  </si>
  <si>
    <t>ОВД гор. Протвино Московской области</t>
  </si>
  <si>
    <t>03 августа 2000г.</t>
  </si>
  <si>
    <t>ООО "Тамбовская 50"</t>
  </si>
  <si>
    <t>Перевозников Алексей Сергеевич</t>
  </si>
  <si>
    <t>4607</t>
  </si>
  <si>
    <t>288596</t>
  </si>
  <si>
    <t>Паспортным столом №2 Серпуховского ГРУВД Московской области</t>
  </si>
  <si>
    <t>18 августа 2006.г</t>
  </si>
  <si>
    <t>ЗАО ТДФ "Брок-Инвест-Сервис и К"</t>
  </si>
  <si>
    <t xml:space="preserve">Дата выдачи: </t>
  </si>
  <si>
    <t>Гришин Александр Александрович</t>
  </si>
  <si>
    <t>4606</t>
  </si>
  <si>
    <t>162977</t>
  </si>
  <si>
    <t>ОВД г. Протвино Московской области</t>
  </si>
  <si>
    <t>27 ноября 2003.г</t>
  </si>
  <si>
    <t>ООО "ЮгСнаб"</t>
  </si>
  <si>
    <t xml:space="preserve">Доверенность действительна по: </t>
  </si>
  <si>
    <t>Наумов Александр Витальевич</t>
  </si>
  <si>
    <t>2906</t>
  </si>
  <si>
    <t>192607</t>
  </si>
  <si>
    <t>отделом УФМС России по Калужской области в Жуковском районе</t>
  </si>
  <si>
    <t>21 июня 2007.г</t>
  </si>
  <si>
    <t>ЗАО "Металлоторг"</t>
  </si>
  <si>
    <t>Попов Владимир Иванович</t>
  </si>
  <si>
    <t>6808</t>
  </si>
  <si>
    <t>509761</t>
  </si>
  <si>
    <t xml:space="preserve">выдан территориальным пунктом УФМС России по Тамбовской области в Мучкапском районе </t>
  </si>
  <si>
    <t>23 апреля 2009.г</t>
  </si>
  <si>
    <t>ЗАО "Упаковочные Системы"</t>
  </si>
  <si>
    <t>Юрмальник Николай Владимирович</t>
  </si>
  <si>
    <t>6004</t>
  </si>
  <si>
    <t>778387</t>
  </si>
  <si>
    <t>15 января 2004.г</t>
  </si>
  <si>
    <t>ИП Марарова Ю.П.</t>
  </si>
  <si>
    <t>наименование потребителя и его адрес</t>
  </si>
  <si>
    <t>Арцименя Николай Владимирович</t>
  </si>
  <si>
    <t>7202</t>
  </si>
  <si>
    <t>635013</t>
  </si>
  <si>
    <t>Сокольническим ОМ УВД Новомосковского района Тульской области</t>
  </si>
  <si>
    <t>20 мая 2002.г</t>
  </si>
  <si>
    <t>ООО "Группа компаний ПОЛекс"</t>
  </si>
  <si>
    <t>Новиков Игорь Владимирович</t>
  </si>
  <si>
    <t>709006</t>
  </si>
  <si>
    <t>ОВД г.Протвино, Московской области</t>
  </si>
  <si>
    <t>28 марта 2001.г</t>
  </si>
  <si>
    <t>ЗАО "Этин"</t>
  </si>
  <si>
    <t>Лукашин Андрей Сергеевич</t>
  </si>
  <si>
    <t>7011</t>
  </si>
  <si>
    <t>357973</t>
  </si>
  <si>
    <t xml:space="preserve">ТП УФМС России по Тульской области в Ясногорском районе </t>
  </si>
  <si>
    <t>22 июня 2012.г</t>
  </si>
  <si>
    <t>ООО "Нортон"</t>
  </si>
  <si>
    <t>наименование плательщика и его адрес</t>
  </si>
  <si>
    <t>Гурова Наталья Александровна</t>
  </si>
  <si>
    <t>797335</t>
  </si>
  <si>
    <t>Отделением УФМс России по Московской области в гор. Протвино</t>
  </si>
  <si>
    <t>29 августа 2007.г</t>
  </si>
  <si>
    <t>ООО ПКФ "Станпромсервис"</t>
  </si>
  <si>
    <t>Лашин Игорь Викторович</t>
  </si>
  <si>
    <t>4611</t>
  </si>
  <si>
    <t>347540</t>
  </si>
  <si>
    <t>ОУФМС России по МО по гор. округу Протвино</t>
  </si>
  <si>
    <t>1 октября 2011.г</t>
  </si>
  <si>
    <t>ООО "Металл-Гарант"</t>
  </si>
  <si>
    <t>Счет №</t>
  </si>
  <si>
    <t>Литвинов Виталий Иванович</t>
  </si>
  <si>
    <t>4603</t>
  </si>
  <si>
    <t>656886</t>
  </si>
  <si>
    <t>23 ноября 2002.г</t>
  </si>
  <si>
    <t>ООО "Зитар"</t>
  </si>
  <si>
    <t>Былинкин Анатолий Николаевич</t>
  </si>
  <si>
    <t>4602</t>
  </si>
  <si>
    <t>442877</t>
  </si>
  <si>
    <t>2-м отделение Серпуховского ОВД Москоской области</t>
  </si>
  <si>
    <t>13 февраля 2002.г</t>
  </si>
  <si>
    <t>ОАО "Точность"</t>
  </si>
  <si>
    <t>наименование банка</t>
  </si>
  <si>
    <t>Тяпаев Ринат Адильшаевич</t>
  </si>
  <si>
    <t>649687</t>
  </si>
  <si>
    <t>Отделением в городском округе Климовск межрайонного ОУФМС России по МО в городском округе Подольск</t>
  </si>
  <si>
    <t>27 декабря 2011.г</t>
  </si>
  <si>
    <t>ЗАО "МИК"</t>
  </si>
  <si>
    <t>Доверенность выдана</t>
  </si>
  <si>
    <t>Семенов Игорь Геннадьевич</t>
  </si>
  <si>
    <t>552517</t>
  </si>
  <si>
    <t>ОУФМС России по Московской области по городскому округу Протвино</t>
  </si>
  <si>
    <t>18 февраля 2012.г</t>
  </si>
  <si>
    <t>ООО "Метстрой"</t>
  </si>
  <si>
    <t>должность</t>
  </si>
  <si>
    <t>фамилия, имя, отчество</t>
  </si>
  <si>
    <t>Кротов Антон Юрьевич</t>
  </si>
  <si>
    <t>2804</t>
  </si>
  <si>
    <t>367245</t>
  </si>
  <si>
    <t>выдан УВД Селижаровского района Тверской области</t>
  </si>
  <si>
    <t>19 февраля 2004.г</t>
  </si>
  <si>
    <t>ПБОЮЛ Макарова Надежда Николаевна</t>
  </si>
  <si>
    <t>Паспорт: серия</t>
  </si>
  <si>
    <t>№</t>
  </si>
  <si>
    <t>Тимохин Виктор Анатольевич</t>
  </si>
  <si>
    <t>552041</t>
  </si>
  <si>
    <t>19 ноября 2011.г</t>
  </si>
  <si>
    <t>ООО "Союзспецодежда"</t>
  </si>
  <si>
    <t>Кем выдан</t>
  </si>
  <si>
    <t>Ерискин Андрей Александрович</t>
  </si>
  <si>
    <t>4608</t>
  </si>
  <si>
    <t>712662</t>
  </si>
  <si>
    <t>отделом УФМС по Домодедовскому району</t>
  </si>
  <si>
    <t>10 июня 2009.г</t>
  </si>
  <si>
    <t>ИП Смекалин Г.Н.</t>
  </si>
  <si>
    <t>Варламов Петр Иванович</t>
  </si>
  <si>
    <t>480875</t>
  </si>
  <si>
    <t>ОВД гор.Протвино Московской области</t>
  </si>
  <si>
    <t>8 сентября 2000.г</t>
  </si>
  <si>
    <t>ООО "Центр офисной мебели"</t>
  </si>
  <si>
    <t>Грекова Лариса Александровна</t>
  </si>
  <si>
    <t>656962</t>
  </si>
  <si>
    <t>ОВД города Протвино Московской области</t>
  </si>
  <si>
    <t>21 ноября 2002.г</t>
  </si>
  <si>
    <t>ООО "ГК-ВПК"</t>
  </si>
  <si>
    <t>На получение от</t>
  </si>
  <si>
    <t>Добрынин Владимир Викторович</t>
  </si>
  <si>
    <t>5705</t>
  </si>
  <si>
    <t>705593</t>
  </si>
  <si>
    <t>отделом внутренних дел г. Губахи Пермской области</t>
  </si>
  <si>
    <t>10 июня 2005.г</t>
  </si>
  <si>
    <t>ООО "ИПЦ"</t>
  </si>
  <si>
    <t>наименование поставщика</t>
  </si>
  <si>
    <t>Моисеенко Вячеслав Николаевич</t>
  </si>
  <si>
    <t>174329</t>
  </si>
  <si>
    <t>Отделом внутренних дел Жуковского района Калужской области</t>
  </si>
  <si>
    <t>6 февраля 2007.г</t>
  </si>
  <si>
    <t>ООО "Компания Кордленд"</t>
  </si>
  <si>
    <t>Материальных ценностей по</t>
  </si>
  <si>
    <t>Бронников Юрий Александрович</t>
  </si>
  <si>
    <t>4604</t>
  </si>
  <si>
    <t>779085</t>
  </si>
  <si>
    <t>8 мая 2003.г</t>
  </si>
  <si>
    <t>ООО "МеАс"</t>
  </si>
  <si>
    <t>наименование, номер и дата документа</t>
  </si>
  <si>
    <t>Ромашов Александр Викторович</t>
  </si>
  <si>
    <t>2910</t>
  </si>
  <si>
    <t>414362</t>
  </si>
  <si>
    <t>ТП УФМС России по Калужской области в Тарусском районе</t>
  </si>
  <si>
    <t>15 июля 2010.г</t>
  </si>
  <si>
    <t>ООО "УпакМетТорг"</t>
  </si>
  <si>
    <t>Майоров Григорий Игоревич</t>
  </si>
  <si>
    <t>111570</t>
  </si>
  <si>
    <t>отделом УФМС России по Московской области в г.Серпухове</t>
  </si>
  <si>
    <t>21 марта 2008.г</t>
  </si>
  <si>
    <t>ЗАО "Горизонт"</t>
  </si>
  <si>
    <t>Исаков Георгий Викторович</t>
  </si>
  <si>
    <t>2012</t>
  </si>
  <si>
    <t>562933</t>
  </si>
  <si>
    <t>отделом УФМС России по Воронежской области в Железнодорожном районе г. Воронежа</t>
  </si>
  <si>
    <t>24 ноября 2012.г</t>
  </si>
  <si>
    <t>ООО "АльянсПак"</t>
  </si>
  <si>
    <t>Арабаджи Антон Алексеевич</t>
  </si>
  <si>
    <t>9806</t>
  </si>
  <si>
    <t>002548</t>
  </si>
  <si>
    <t>Верхоянским ОВД Республики Саха (Якутия)</t>
  </si>
  <si>
    <t>1 декабря 2006.г</t>
  </si>
  <si>
    <t>Номер по порядку</t>
  </si>
  <si>
    <t>Материальные ценности</t>
  </si>
  <si>
    <t>Единица измерения</t>
  </si>
  <si>
    <t xml:space="preserve">Количество </t>
  </si>
  <si>
    <t>ООО "Спецкомплект"</t>
  </si>
  <si>
    <t>ООО "Даскон-Строй"</t>
  </si>
  <si>
    <t>Подпись лица получившего доверенность___________________ удостоверяем</t>
  </si>
  <si>
    <t>"Почта России"  г.Протвино</t>
  </si>
  <si>
    <t>ООО "Спекта Интерпак"</t>
  </si>
  <si>
    <t>Руководитель</t>
  </si>
  <si>
    <t>ООО " ИМРП "НЕЖА"</t>
  </si>
  <si>
    <t>подпись</t>
  </si>
  <si>
    <t>расшифровка подписи</t>
  </si>
  <si>
    <t>ООО "Электронные Бизнес Системы"</t>
  </si>
  <si>
    <t>М.П.</t>
  </si>
  <si>
    <t>ООО "ТСК ТЕХНОТЕКС"</t>
  </si>
  <si>
    <t>ЗАО "Энерпром-Микуни"</t>
  </si>
  <si>
    <t>Главный бухгалтер</t>
  </si>
  <si>
    <t>ООО "Группа компаний Все для Склада"</t>
  </si>
  <si>
    <t>ООО "Биопак"</t>
  </si>
  <si>
    <t>ООО "Автотрейдинг-М"</t>
  </si>
  <si>
    <t>ООО "Кирелис"</t>
  </si>
  <si>
    <t>ООО "Принт Маркет"</t>
  </si>
  <si>
    <t>ООО "Атлант сервис"</t>
  </si>
  <si>
    <t>ИП Лашина И.В.</t>
  </si>
  <si>
    <t>ООО "ПроБетон"</t>
  </si>
  <si>
    <t>ООО "ХЮДАК Интернешнл"</t>
  </si>
  <si>
    <t>ООО "Евроредуктор"</t>
  </si>
  <si>
    <t>ООО "Универсал-Спецтехника"</t>
  </si>
  <si>
    <t>ООО "Канта Плюс"</t>
  </si>
  <si>
    <t>ООО "СТК ИВА"</t>
  </si>
  <si>
    <t>ООО "Элком"</t>
  </si>
  <si>
    <t>ООО  "СВС Гидравлика"</t>
  </si>
  <si>
    <t>ООО "ПУ-Техно сервис"</t>
  </si>
  <si>
    <t>ООО "Лист"</t>
  </si>
  <si>
    <t>ООО "Азия ЭМ-Эйч"</t>
  </si>
  <si>
    <t>ООО "Азия Эм-Эйч"</t>
  </si>
  <si>
    <t>ООО "Изодом Центр"</t>
  </si>
  <si>
    <t>ИП Гаевая О.Н.</t>
  </si>
  <si>
    <t>ИП Косарев И.М.</t>
  </si>
  <si>
    <t>ООО "Металл-Центр"</t>
  </si>
  <si>
    <t>ИП Чернова Н.В.</t>
  </si>
  <si>
    <t>ООО "Комплект Пак"</t>
  </si>
  <si>
    <t>ООО "Защита"</t>
  </si>
  <si>
    <t>ООО "Контакт плюс"</t>
  </si>
  <si>
    <t>ООО "ПАКТ"</t>
  </si>
  <si>
    <t>ОАО "СеАз"</t>
  </si>
  <si>
    <t>ИП Ремизова Ю.Н.</t>
  </si>
  <si>
    <t>ООО "СтальПром"</t>
  </si>
  <si>
    <t>ООО "ТК"Руф Фоам"</t>
  </si>
  <si>
    <t>ООО "Энтер"</t>
  </si>
  <si>
    <t>ООО "АПРБ-Центр"</t>
  </si>
  <si>
    <t>ООО "Атлант форклифт"</t>
  </si>
  <si>
    <t>ЗАО "Метизно-Инструментальная Компания"</t>
  </si>
  <si>
    <t>ООО "ПРОТэлектроремонт"</t>
  </si>
  <si>
    <t>ИП Коровкин Р.В.</t>
  </si>
  <si>
    <t>ООО "Контакт +"</t>
  </si>
  <si>
    <t>ООО "Серпуховская топливная корпорация"</t>
  </si>
  <si>
    <t>ООО "Горизонт"</t>
  </si>
  <si>
    <t>ООО "МК Альтера"</t>
  </si>
  <si>
    <t>ООО "Тельфер-С"</t>
  </si>
  <si>
    <t>ИП Чаплик М.Л.</t>
  </si>
  <si>
    <t>ЗАО "Витрон"</t>
  </si>
  <si>
    <t>ООО ТД "Агротека"</t>
  </si>
  <si>
    <t>ООО "НПП Специальные Промышленные Пружины"</t>
  </si>
  <si>
    <t>ООО "Сваинова"</t>
  </si>
  <si>
    <t>ИП Шнипов В.М.</t>
  </si>
  <si>
    <t>ООО "Комплект - Пак"</t>
  </si>
  <si>
    <t>ООО "МОССклад"</t>
  </si>
  <si>
    <t>ИП Петухов А.А.</t>
  </si>
  <si>
    <t>ООО "СпецТрансКомплект"</t>
  </si>
  <si>
    <t>ООО "АМХ Сервис"</t>
  </si>
  <si>
    <t>ООО "Эл-Кран"</t>
  </si>
  <si>
    <t>ООО  "ПКФ Резинотехника"</t>
  </si>
  <si>
    <t>ООО "Лента"</t>
  </si>
  <si>
    <t>ООО "Фениск-Сталь"</t>
  </si>
  <si>
    <t>ООО "Феникс-Сталь"</t>
  </si>
  <si>
    <t>ЗАО "Энерпром-М"</t>
  </si>
  <si>
    <t>ООО "Сталь-Техно"</t>
  </si>
  <si>
    <t>ООО "Азия Материал Хэндлинг"</t>
  </si>
  <si>
    <t>ООО "Инструментальщикъ"</t>
  </si>
  <si>
    <t>ЗАО"Метизно-Инструментальная Компания"</t>
  </si>
  <si>
    <t>ООО "Троль-Авто"</t>
  </si>
  <si>
    <t>ООО "М.Видео"</t>
  </si>
  <si>
    <t>ООО ''Защита''</t>
  </si>
  <si>
    <t>ООО "Норманд Фастенерс"</t>
  </si>
  <si>
    <t>ООО "Меркурий"</t>
  </si>
  <si>
    <t>ООО "СК"Сигма"</t>
  </si>
  <si>
    <t>ООО "СК" Сигма"</t>
  </si>
  <si>
    <t>ООО "СК "СИГМА"</t>
  </si>
  <si>
    <t>ООО Торговый  дом  "Мир кранов"</t>
  </si>
  <si>
    <t>ООО "Терморос  Инжиниринг"</t>
  </si>
  <si>
    <t>ООО "УПТК Стройснабжение"</t>
  </si>
  <si>
    <t>ООО "ЦШК "Гексагон"</t>
  </si>
  <si>
    <t>ООО "Селек"</t>
  </si>
  <si>
    <t>ООО "Инсотел"</t>
  </si>
  <si>
    <t>ООО "Этин"</t>
  </si>
  <si>
    <t>ООО "ВЕЛЬКИН"</t>
  </si>
  <si>
    <t>ООО "М.видео менеджмент"</t>
  </si>
  <si>
    <t>ООО "М.видео Менеджмент"</t>
  </si>
  <si>
    <t>ООО "Корпорация Климат"</t>
  </si>
  <si>
    <t>Трансмаш</t>
  </si>
  <si>
    <t>ИП Ткаченко Е.Н.</t>
  </si>
  <si>
    <t>ООО "ВМЗгруп"</t>
  </si>
  <si>
    <t>ЗАО "АСЛ Системы"</t>
  </si>
  <si>
    <t>ООО "АвтоПрофи"</t>
  </si>
  <si>
    <t>ООО "Велькин"</t>
  </si>
  <si>
    <t>ООО "Станкоконструкция"</t>
  </si>
  <si>
    <t>ООО "ГК МеталлСтройИнвест"</t>
  </si>
  <si>
    <t>ООО Компания Три "А"</t>
  </si>
  <si>
    <t>ООО "Империя Пластика"</t>
  </si>
  <si>
    <t>ООО "Авто Беаринг"</t>
  </si>
  <si>
    <t>ООО "Авто Беаринг Компани"</t>
  </si>
  <si>
    <t>ООО " Группа компаний ПОЛекс"</t>
  </si>
  <si>
    <t>ООО "Креп-Систем"</t>
  </si>
  <si>
    <t>ООО "Торговый дом "Орбита"</t>
  </si>
  <si>
    <t>ООО "ОблВент"</t>
  </si>
  <si>
    <t>ООО "Флагман-Упак"</t>
  </si>
  <si>
    <t>ООО "Авто профи"</t>
  </si>
  <si>
    <t>ООО "Спецобъединение Юго-Запад"</t>
  </si>
  <si>
    <t>ООО "Велдис"</t>
  </si>
  <si>
    <t>ООО "Компания Три А"</t>
  </si>
  <si>
    <t>ООО "АЗЪ"</t>
  </si>
  <si>
    <t>ООО "Западная Техника Санкт-Петербург"</t>
  </si>
  <si>
    <t>ООО "АРИДА"</t>
  </si>
  <si>
    <t>ООО "ЛеАл"</t>
  </si>
  <si>
    <t>ООО "Инновационный сервис"</t>
  </si>
  <si>
    <t>ООО "Научно-производственное предприятие "Специальные Промышленные Пружины"</t>
  </si>
  <si>
    <t>ООО "МастерЮни"</t>
  </si>
  <si>
    <t>ООО "ПК САФ"</t>
  </si>
  <si>
    <t>Серпуховское Районное отделение МОО ВДПО</t>
  </si>
  <si>
    <t>ООО "ДЕЛОВЫЕ ЛИНИИ"</t>
  </si>
  <si>
    <t>ООО "Флагман -Упак"</t>
  </si>
  <si>
    <t>ООО "Делекс Групп"</t>
  </si>
  <si>
    <t>ООО "Олимпия-Центр"</t>
  </si>
  <si>
    <t>ООО "БОРА"</t>
  </si>
  <si>
    <t>ООО "ЭКОТЕХСЕРВИС"</t>
  </si>
  <si>
    <t>ООО НПП "ФОСТ"</t>
  </si>
  <si>
    <t>ЗАО "Теплый дом СМ"</t>
  </si>
  <si>
    <t>ООО "МастреЮни"</t>
  </si>
  <si>
    <t>ЗАО "ЧИП и ДИП"</t>
  </si>
  <si>
    <t>ООО "Пром-Регион"</t>
  </si>
  <si>
    <t>ООО Управляющая компания "Конкордия"</t>
  </si>
  <si>
    <t>ЗАО  "ЧИП и ДИП"</t>
  </si>
  <si>
    <t>ООО "Центровес-Сервис"</t>
  </si>
  <si>
    <t>ООО "ПОДШИПНИКСНАБ"</t>
  </si>
  <si>
    <t>ООО "ТД АВТОБЕРИНГКОМПАНИ"</t>
  </si>
  <si>
    <t>ИП Кузнецов А.И.</t>
  </si>
  <si>
    <t>ООО "ОЙЛ-ФОРБИ"</t>
  </si>
  <si>
    <t>ООО "Алькон"</t>
  </si>
  <si>
    <t>ИП Узунян А.А.</t>
  </si>
  <si>
    <t>ООО "Аквасила"</t>
  </si>
  <si>
    <t>Почта России (Протвино 1)</t>
  </si>
  <si>
    <t>ПОЧТА РОССИИ (ПРОТВИНО 1)</t>
  </si>
  <si>
    <t>ООО "Легат"</t>
  </si>
  <si>
    <t>ООО "Инструментальная компания ЭНКОР"</t>
  </si>
  <si>
    <t>ООО "Ритейл Консалтинг"</t>
  </si>
  <si>
    <t>ООО "Центр Плюс"</t>
  </si>
  <si>
    <t>ООО ТК "Евроредуктор"</t>
  </si>
  <si>
    <t>ООО "ГидроТехМаш"</t>
  </si>
  <si>
    <t>ООО "ЭТПО Практик"</t>
  </si>
  <si>
    <t>ООО "Светознак"</t>
  </si>
  <si>
    <t>ООО "ПУ Техно"</t>
  </si>
  <si>
    <t>ООО "КАССЦЕНТР"</t>
  </si>
  <si>
    <t>ООО "Торговый Дом  "ФАКТУМ"</t>
  </si>
  <si>
    <t>ООО "Торговый Дом "ФАКТУМ"</t>
  </si>
  <si>
    <t>ООО "Оборудование для бизнеса"</t>
  </si>
  <si>
    <t>ИП Чурсина Лариса Валерьевна</t>
  </si>
  <si>
    <t>ИП Чурсина Валентина Михайловна</t>
  </si>
  <si>
    <t>ИП Кудрявцев Геннадий Сергеевич</t>
  </si>
  <si>
    <t>ИП Кудрявцев Г.С.</t>
  </si>
  <si>
    <t>ИП Чурсина Л.В.</t>
  </si>
  <si>
    <t>ИП Чурсина В.М.</t>
  </si>
  <si>
    <t>ООО "Фортуна"</t>
  </si>
  <si>
    <t>ООО "Промситех"</t>
  </si>
  <si>
    <t>ООО "ТД ФОРА-С"</t>
  </si>
  <si>
    <t>ООО "БЭЛКОНИ"</t>
  </si>
  <si>
    <t>ООО "Радиатор"</t>
  </si>
  <si>
    <t>ООО "Новые технологии и дизайн - Сервис"</t>
  </si>
  <si>
    <t>ООО "Офтех"</t>
  </si>
  <si>
    <t>ООО"Торговый дом "Янтарь"</t>
  </si>
  <si>
    <t>ООО "МФК ТЕХЭНЕРГО"</t>
  </si>
  <si>
    <t>ООО " Универсал форклифт"</t>
  </si>
  <si>
    <t>ООО "Универсал Форклифт"</t>
  </si>
  <si>
    <t>ООО "РРК"</t>
  </si>
  <si>
    <t>Почта России (Протвино1)</t>
  </si>
  <si>
    <t>ООО "ТД Фора-С"</t>
  </si>
  <si>
    <t>ООО "ПромМас"</t>
  </si>
  <si>
    <t>ООО РТЦ "Атлант"</t>
  </si>
  <si>
    <t>ООО "Тех-Авангард"</t>
  </si>
  <si>
    <t>ООО "СТрой Гид"</t>
  </si>
  <si>
    <t>ООО " Группа компаний Все для Склада"</t>
  </si>
  <si>
    <t>ООО "ЭлектроТехническая Компания Провод"</t>
  </si>
  <si>
    <t>ООО "ВЕСТ ДИДЖИТАЛ"</t>
  </si>
  <si>
    <t>ООО "Протектор.ру"</t>
  </si>
  <si>
    <t>ООО "ИФ-Трейд"</t>
  </si>
  <si>
    <t>ООО "БэстСБ"</t>
  </si>
  <si>
    <t>ООО "ИнжПласт"</t>
  </si>
  <si>
    <t>ООО "Группа компаний"СДС"</t>
  </si>
  <si>
    <t>ООО "НТО"Альвис"</t>
  </si>
  <si>
    <t>ЗАО "БЕРГ АБ"</t>
  </si>
  <si>
    <t>ИП Ермакова И.Н.</t>
  </si>
  <si>
    <t>ООО "Ротор"</t>
  </si>
  <si>
    <t>ЗАО Торговый дом "Челябинский инструментальный завод"</t>
  </si>
  <si>
    <t>ООО "КЭМП-Домодедово"</t>
  </si>
  <si>
    <t>ООО "НТФ"ТермИКС-Наука"</t>
  </si>
  <si>
    <t>ООО "НТФ"Термикс-Наука"</t>
  </si>
  <si>
    <t>ОАО "Аптека №66"</t>
  </si>
  <si>
    <t>ООО "НТФ "ТермИКС-Наука"</t>
  </si>
  <si>
    <t>ООО "Эдиум"</t>
  </si>
  <si>
    <t>ООО "КММ"</t>
  </si>
  <si>
    <t>ООО "ПОЛЮС ТД"</t>
  </si>
  <si>
    <t>ООО "Спектравто"</t>
  </si>
  <si>
    <t>ООО "НТО "Альвис"</t>
  </si>
  <si>
    <t>ЗАО "Стройбетонсервис"</t>
  </si>
  <si>
    <t>ООО "Сити Бланк"</t>
  </si>
  <si>
    <t>ООО "Контроль. Измерение. Диагностика"</t>
  </si>
  <si>
    <t>ООО "К.И.Д."</t>
  </si>
  <si>
    <t>ООО "ЦШК"Гексагон"</t>
  </si>
  <si>
    <t>ИП Листопадов Д.В.</t>
  </si>
  <si>
    <t>ООО "РегионСнаб"</t>
  </si>
  <si>
    <t>ООО "ТД АВТОБЕРИГКОМПАНИ"</t>
  </si>
  <si>
    <t>ОООо "МастерЮни"</t>
  </si>
  <si>
    <t>ООО "ТД ТИНКО"</t>
  </si>
  <si>
    <t>ООО УК "Конкордия"</t>
  </si>
  <si>
    <t>Индивидуальный предприниматель Листопадов Дмитрий Витальевич</t>
  </si>
  <si>
    <t>ООО "СФС-системы"</t>
  </si>
  <si>
    <t>ООО "Динамо Групп"</t>
  </si>
  <si>
    <t>ООО "ПРОФЛАЗЕРМЕТ"</t>
  </si>
  <si>
    <t>ООО "АТОЗ"</t>
  </si>
  <si>
    <t>ООО НПП "Электроникс Груп"</t>
  </si>
  <si>
    <t>ООО "Элетронные Бизнес Системы"</t>
  </si>
  <si>
    <t>Почта России (Протвино-1)</t>
  </si>
  <si>
    <t>ООО "АЕ5000"</t>
  </si>
  <si>
    <t>ООО "Деловые Линии"</t>
  </si>
  <si>
    <t>ООО "Экобат"</t>
  </si>
  <si>
    <t>ООО "Энергосервис"</t>
  </si>
  <si>
    <t>ИП Кузнецов  А.И.</t>
  </si>
  <si>
    <t>"Почта России"  г.Протвино (142281)</t>
  </si>
  <si>
    <t>ООО "ЦШК" Гексагон"</t>
  </si>
  <si>
    <t>ООО "БэстСБ</t>
  </si>
  <si>
    <t>ООО "АФ Лизинг"</t>
  </si>
  <si>
    <t>ООО "Специнструмент"</t>
  </si>
  <si>
    <t>ООО "ПКФ"КБК ПЕРСПЕКТИВА"</t>
  </si>
  <si>
    <t>ООО "ПКФ "КБК ПЕРСПЕКТИВА"</t>
  </si>
  <si>
    <t>ООО "Центр вес-Сервис"</t>
  </si>
  <si>
    <t>ООО "Ком Термо"</t>
  </si>
  <si>
    <t>ООО "СкладТехРесурс"</t>
  </si>
  <si>
    <t>ООО "АСК Тёплый Шов"</t>
  </si>
  <si>
    <t>ООО "РДА Групп"</t>
  </si>
  <si>
    <t>ИП Беляев А.В.</t>
  </si>
  <si>
    <t>ООО "Точность"</t>
  </si>
  <si>
    <t>ООО "ТК"Голден Пак"</t>
  </si>
  <si>
    <t>ООО "Великан-Рустрактор"</t>
  </si>
  <si>
    <t>ИП Узунян  А.А.</t>
  </si>
  <si>
    <t>ООО "Авто Беринг Компани"</t>
  </si>
  <si>
    <t>ООО ГК "АККОРД"</t>
  </si>
  <si>
    <t>ООО "Цинкор"</t>
  </si>
  <si>
    <t>ООО " Флагман-Упак"</t>
  </si>
  <si>
    <t>ИП Чахов Руслан Аксенович</t>
  </si>
  <si>
    <t>ООО "Теллур"</t>
  </si>
  <si>
    <t>ООО "Металлсервис-Москва"</t>
  </si>
  <si>
    <t>водитель</t>
  </si>
  <si>
    <t>ООО "ПегасТрансАвто"</t>
  </si>
  <si>
    <t>Часовников Александр Вадимович</t>
  </si>
  <si>
    <t>р/с 40702810824030001538, к/с 30101810165770000446, БИК 046577446, ФИЛИАЛ ПАО "БАНК УРАЛСИБ" В Г. ЕКАТЕРИНБУРГ г. Екатеринбург</t>
  </si>
  <si>
    <t>ООО «ТехСервис»</t>
  </si>
  <si>
    <t xml:space="preserve">ООО «ТехСервис»
</t>
  </si>
  <si>
    <t>ООО "ПегасТрансАвто", ИНН 6685191957, ОГРН 1216600056309, 620100, Свердловская область, г.о. город Екатеринбург, г. Екатеринбург, ул Ткачей, стр. 23, офис 1201</t>
  </si>
  <si>
    <t>водитель
Скарякин Станислав Сергеевич</t>
  </si>
  <si>
    <t>Скарякин Станислав Сергеевич</t>
  </si>
  <si>
    <t xml:space="preserve">80 13 </t>
  </si>
  <si>
    <t>840205</t>
  </si>
  <si>
    <t>Отделением УФМС России по Республике Башкортостан в Бакалинском районе</t>
  </si>
  <si>
    <t xml:space="preserve">Экскаватор гусеничный SE36SR(0.12P) сер 66SE03FYNP1001499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</si>
</sst>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C19]dd\ mmmm\ yyyy\ \г\.;@"/>
    <numFmt numFmtId="165" formatCode="d/m/yyyy;@"/>
    <numFmt numFmtId="166" formatCode="0000000"/>
  </numFmts>
  <fonts count="31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7"/>
      <name val="Arial"/>
      <family val="2"/>
      <charset val="204"/>
    </font>
    <font>
      <sz val="8"/>
      <name val="Arial"/>
      <family val="2"/>
      <charset val="204"/>
    </font>
    <font>
      <b/>
      <sz val="9"/>
      <color indexed="10"/>
      <name val="Arial"/>
      <family val="2"/>
      <charset val="204"/>
    </font>
    <font>
      <b/>
      <sz val="16"/>
      <color indexed="21"/>
      <name val="Arial"/>
      <family val="2"/>
      <charset val="204"/>
    </font>
    <font>
      <vertAlign val="subscript"/>
      <sz val="7"/>
      <name val="Arial"/>
      <family val="2"/>
      <charset val="204"/>
    </font>
    <font>
      <sz val="8"/>
      <color indexed="9"/>
      <name val="Arial"/>
      <family val="2"/>
    </font>
    <font>
      <sz val="7"/>
      <color indexed="9"/>
      <name val="Arial"/>
      <family val="2"/>
    </font>
    <font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indexed="9"/>
      <name val="Arial"/>
      <family val="2"/>
    </font>
    <font>
      <sz val="6"/>
      <name val="Arial"/>
      <family val="2"/>
      <charset val="204"/>
    </font>
    <font>
      <b/>
      <sz val="8"/>
      <name val="Arial"/>
      <family val="2"/>
      <charset val="204"/>
    </font>
    <font>
      <sz val="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Dashed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165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2" xfId="0" applyNumberFormat="1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165" fontId="0" fillId="0" borderId="12" xfId="0" applyNumberFormat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top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left" vertical="center" wrapText="1"/>
      <protection locked="0"/>
    </xf>
    <xf numFmtId="49" fontId="0" fillId="0" borderId="11" xfId="0" applyNumberFormat="1" applyBorder="1" applyAlignment="1" applyProtection="1">
      <alignment horizontal="left" vertical="center" wrapText="1"/>
      <protection locked="0"/>
    </xf>
    <xf numFmtId="49" fontId="0" fillId="0" borderId="12" xfId="0" applyNumberFormat="1" applyBorder="1" applyAlignment="1" applyProtection="1">
      <alignment horizontal="left" vertical="center" wrapText="1"/>
      <protection locked="0"/>
    </xf>
    <xf numFmtId="1" fontId="0" fillId="0" borderId="12" xfId="0" applyNumberFormat="1" applyBorder="1" applyAlignment="1" applyProtection="1">
      <alignment horizontal="left" vertical="center"/>
      <protection locked="0"/>
    </xf>
    <xf numFmtId="1" fontId="0" fillId="0" borderId="0" xfId="0" applyNumberFormat="1" applyAlignment="1">
      <alignment horizontal="left" vertical="center" wrapText="1"/>
    </xf>
    <xf numFmtId="1" fontId="18" fillId="0" borderId="12" xfId="0" applyNumberFormat="1" applyFont="1" applyBorder="1" applyAlignment="1">
      <alignment horizontal="center" vertical="center"/>
    </xf>
    <xf numFmtId="1" fontId="18" fillId="0" borderId="0" xfId="0" applyNumberFormat="1" applyFont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left" vertical="center" wrapText="1"/>
    </xf>
    <xf numFmtId="0" fontId="19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0" fillId="0" borderId="12" xfId="0" applyBorder="1" applyAlignment="1">
      <alignment horizontal="center"/>
    </xf>
    <xf numFmtId="0" fontId="23" fillId="0" borderId="0" xfId="0" applyFont="1" applyAlignment="1">
      <alignment horizontal="center"/>
    </xf>
    <xf numFmtId="165" fontId="0" fillId="0" borderId="13" xfId="0" applyNumberFormat="1" applyBorder="1" applyAlignment="1" applyProtection="1">
      <alignment horizontal="left" vertical="center"/>
      <protection locked="0"/>
    </xf>
    <xf numFmtId="0" fontId="25" fillId="0" borderId="0" xfId="0" applyFont="1" applyAlignment="1">
      <alignment horizontal="right"/>
    </xf>
    <xf numFmtId="166" fontId="26" fillId="0" borderId="10" xfId="0" applyNumberFormat="1" applyFont="1" applyBorder="1" applyAlignment="1">
      <alignment horizontal="center"/>
    </xf>
    <xf numFmtId="166" fontId="27" fillId="0" borderId="0" xfId="0" applyNumberFormat="1" applyFont="1" applyAlignment="1">
      <alignment horizontal="center"/>
    </xf>
    <xf numFmtId="1" fontId="26" fillId="0" borderId="19" xfId="0" applyNumberFormat="1" applyFont="1" applyBorder="1" applyAlignment="1">
      <alignment horizontal="center"/>
    </xf>
    <xf numFmtId="1" fontId="27" fillId="0" borderId="0" xfId="0" applyNumberFormat="1" applyFont="1" applyAlignment="1">
      <alignment horizontal="center"/>
    </xf>
    <xf numFmtId="0" fontId="28" fillId="0" borderId="0" xfId="0" applyFont="1" applyAlignment="1">
      <alignment horizontal="centerContinuous" vertical="top"/>
    </xf>
    <xf numFmtId="0" fontId="23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23" fillId="0" borderId="0" xfId="0" applyFont="1" applyAlignment="1">
      <alignment horizontal="left" vertical="top" wrapText="1"/>
    </xf>
    <xf numFmtId="0" fontId="28" fillId="0" borderId="0" xfId="0" applyFont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1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8" xfId="0" applyBorder="1" applyAlignment="1">
      <alignment horizontal="right"/>
    </xf>
    <xf numFmtId="0" fontId="0" fillId="0" borderId="18" xfId="0" applyBorder="1" applyAlignment="1">
      <alignment horizontal="left"/>
    </xf>
    <xf numFmtId="0" fontId="29" fillId="0" borderId="0" xfId="0" applyFont="1" applyAlignment="1">
      <alignment horizontal="center"/>
    </xf>
    <xf numFmtId="0" fontId="0" fillId="0" borderId="12" xfId="0" applyBorder="1" applyAlignment="1" applyProtection="1">
      <alignment horizontal="left" vertical="center" wrapText="1"/>
      <protection locked="0"/>
    </xf>
    <xf numFmtId="0" fontId="30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8" fillId="0" borderId="0" xfId="0" applyNumberFormat="1" applyFont="1" applyAlignment="1">
      <alignment horizontal="center" vertical="center"/>
    </xf>
    <xf numFmtId="1" fontId="0" fillId="0" borderId="12" xfId="0" applyNumberFormat="1" applyBorder="1" applyAlignment="1">
      <alignment horizontal="right" vertical="top" wrapText="1"/>
    </xf>
    <xf numFmtId="1" fontId="0" fillId="0" borderId="12" xfId="0" applyNumberFormat="1" applyBorder="1" applyAlignment="1">
      <alignment horizontal="center" vertical="top" wrapText="1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2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 vertical="top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 applyProtection="1">
      <alignment horizontal="left" vertical="center"/>
      <protection locked="0"/>
    </xf>
    <xf numFmtId="0" fontId="0" fillId="0" borderId="16" xfId="0" applyBorder="1" applyAlignment="1">
      <alignment horizontal="left"/>
    </xf>
    <xf numFmtId="0" fontId="0" fillId="0" borderId="21" xfId="0" applyBorder="1" applyAlignment="1">
      <alignment horizontal="left" wrapText="1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left" wrapText="1"/>
    </xf>
    <xf numFmtId="0" fontId="28" fillId="0" borderId="16" xfId="0" applyFont="1" applyBorder="1" applyAlignment="1">
      <alignment horizontal="center" vertical="top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 applyProtection="1">
      <alignment horizontal="center" vertical="top" wrapText="1"/>
      <protection locked="0"/>
    </xf>
    <xf numFmtId="0" fontId="0" fillId="0" borderId="14" xfId="0" applyBorder="1" applyAlignment="1" applyProtection="1">
      <alignment horizontal="center" vertical="top" wrapText="1"/>
      <protection locked="0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1" fontId="18" fillId="0" borderId="13" xfId="0" applyNumberFormat="1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49" fontId="0" fillId="0" borderId="18" xfId="0" applyNumberFormat="1" applyBorder="1" applyAlignment="1" applyProtection="1">
      <alignment horizontal="left" wrapText="1"/>
      <protection locked="0"/>
    </xf>
    <xf numFmtId="0" fontId="0" fillId="0" borderId="18" xfId="0" applyBorder="1" applyAlignment="1" applyProtection="1">
      <alignment horizontal="left" wrapText="1"/>
      <protection locked="0"/>
    </xf>
    <xf numFmtId="14" fontId="0" fillId="0" borderId="18" xfId="0" applyNumberFormat="1" applyBorder="1" applyAlignment="1" applyProtection="1">
      <alignment horizontal="left" wrapText="1"/>
      <protection locked="0"/>
    </xf>
    <xf numFmtId="0" fontId="0" fillId="0" borderId="18" xfId="0" applyBorder="1" applyAlignment="1" applyProtection="1">
      <alignment horizontal="left" vertical="top" wrapText="1"/>
      <protection locked="0"/>
    </xf>
    <xf numFmtId="0" fontId="29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1" fillId="0" borderId="13" xfId="0" applyFont="1" applyBorder="1" applyAlignment="1" applyProtection="1">
      <alignment horizontal="left" vertical="center"/>
      <protection locked="0"/>
    </xf>
    <xf numFmtId="0" fontId="21" fillId="0" borderId="14" xfId="0" applyFont="1" applyBorder="1" applyAlignment="1" applyProtection="1">
      <alignment horizontal="left" vertical="center"/>
      <protection locked="0"/>
    </xf>
    <xf numFmtId="0" fontId="21" fillId="0" borderId="11" xfId="0" applyFont="1" applyBorder="1" applyAlignment="1" applyProtection="1">
      <alignment horizontal="left" vertical="center"/>
      <protection locked="0"/>
    </xf>
    <xf numFmtId="0" fontId="0" fillId="0" borderId="18" xfId="0" applyBorder="1" applyAlignment="1">
      <alignment horizontal="center" wrapText="1"/>
    </xf>
    <xf numFmtId="0" fontId="2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left" vertical="top" wrapText="1"/>
    </xf>
    <xf numFmtId="1" fontId="26" fillId="0" borderId="18" xfId="0" applyNumberFormat="1" applyFont="1" applyBorder="1" applyAlignment="1">
      <alignment horizontal="left" wrapText="1"/>
    </xf>
    <xf numFmtId="164" fontId="0" fillId="0" borderId="13" xfId="0" applyNumberFormat="1" applyBorder="1" applyAlignment="1">
      <alignment horizontal="left" vertical="center" wrapText="1"/>
    </xf>
    <xf numFmtId="164" fontId="0" fillId="0" borderId="14" xfId="0" applyNumberFormat="1" applyBorder="1" applyAlignment="1">
      <alignment horizontal="left" vertical="center" wrapText="1"/>
    </xf>
    <xf numFmtId="164" fontId="0" fillId="0" borderId="11" xfId="0" applyNumberForma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 indent="1"/>
    </xf>
    <xf numFmtId="0" fontId="28" fillId="0" borderId="0" xfId="0" applyFont="1" applyAlignment="1">
      <alignment horizontal="center" vertical="top"/>
    </xf>
    <xf numFmtId="1" fontId="29" fillId="0" borderId="13" xfId="0" applyNumberFormat="1" applyFont="1" applyBorder="1" applyAlignment="1" applyProtection="1">
      <alignment horizontal="center" vertical="center"/>
      <protection locked="0"/>
    </xf>
    <xf numFmtId="1" fontId="29" fillId="0" borderId="11" xfId="0" applyNumberFormat="1" applyFont="1" applyBorder="1" applyAlignment="1" applyProtection="1">
      <alignment horizontal="center" vertical="center"/>
      <protection locked="0"/>
    </xf>
    <xf numFmtId="14" fontId="29" fillId="0" borderId="13" xfId="0" applyNumberFormat="1" applyFont="1" applyBorder="1" applyAlignment="1" applyProtection="1">
      <alignment horizontal="center" vertical="center" wrapText="1"/>
      <protection locked="0"/>
    </xf>
    <xf numFmtId="14" fontId="29" fillId="0" borderId="14" xfId="0" applyNumberFormat="1" applyFont="1" applyBorder="1" applyAlignment="1" applyProtection="1">
      <alignment horizontal="center" vertical="center" wrapText="1"/>
      <protection locked="0"/>
    </xf>
    <xf numFmtId="14" fontId="29" fillId="0" borderId="11" xfId="0" applyNumberFormat="1" applyFont="1" applyBorder="1" applyAlignment="1" applyProtection="1">
      <alignment horizontal="center" vertical="center" wrapText="1"/>
      <protection locked="0"/>
    </xf>
    <xf numFmtId="14" fontId="29" fillId="0" borderId="13" xfId="0" applyNumberFormat="1" applyFont="1" applyBorder="1" applyAlignment="1">
      <alignment horizontal="center" vertical="center" wrapText="1"/>
    </xf>
    <xf numFmtId="14" fontId="29" fillId="0" borderId="14" xfId="0" applyNumberFormat="1" applyFont="1" applyBorder="1" applyAlignment="1">
      <alignment horizontal="center" vertical="center" wrapText="1"/>
    </xf>
    <xf numFmtId="14" fontId="29" fillId="0" borderId="11" xfId="0" applyNumberFormat="1" applyFont="1" applyBorder="1" applyAlignment="1">
      <alignment horizontal="center" vertical="center" wrapText="1"/>
    </xf>
    <xf numFmtId="0" fontId="19" fillId="0" borderId="13" xfId="0" applyFont="1" applyBorder="1" applyAlignment="1" applyProtection="1">
      <alignment horizontal="center" vertical="top" wrapText="1"/>
      <protection locked="0"/>
    </xf>
    <xf numFmtId="0" fontId="19" fillId="0" borderId="14" xfId="0" applyFont="1" applyBorder="1" applyAlignment="1" applyProtection="1">
      <alignment horizontal="center" vertical="top" wrapText="1"/>
      <protection locked="0"/>
    </xf>
    <xf numFmtId="0" fontId="19" fillId="0" borderId="11" xfId="0" applyFont="1" applyBorder="1" applyAlignment="1" applyProtection="1">
      <alignment horizontal="center" vertical="top" wrapText="1"/>
      <protection locked="0"/>
    </xf>
    <xf numFmtId="0" fontId="20" fillId="0" borderId="13" xfId="0" applyFont="1" applyBorder="1" applyAlignment="1" applyProtection="1">
      <alignment horizontal="right" vertical="top" wrapText="1"/>
      <protection locked="0"/>
    </xf>
    <xf numFmtId="0" fontId="20" fillId="0" borderId="14" xfId="0" applyFont="1" applyBorder="1" applyAlignment="1" applyProtection="1">
      <alignment horizontal="right" vertical="top" wrapText="1"/>
      <protection locked="0"/>
    </xf>
    <xf numFmtId="0" fontId="20" fillId="0" borderId="11" xfId="0" applyFont="1" applyBorder="1" applyAlignment="1" applyProtection="1">
      <alignment horizontal="right" vertical="top" wrapText="1"/>
      <protection locked="0"/>
    </xf>
    <xf numFmtId="0" fontId="29" fillId="0" borderId="13" xfId="0" applyFont="1" applyBorder="1" applyAlignment="1" applyProtection="1">
      <alignment horizontal="center" vertical="center" wrapText="1"/>
      <protection locked="0"/>
    </xf>
    <xf numFmtId="0" fontId="29" fillId="0" borderId="14" xfId="0" applyFont="1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 applyProtection="1">
      <alignment horizontal="center" vertical="center" wrapText="1"/>
      <protection locked="0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43111</xdr:colOff>
      <xdr:row>54</xdr:row>
      <xdr:rowOff>70038</xdr:rowOff>
    </xdr:from>
    <xdr:to>
      <xdr:col>2</xdr:col>
      <xdr:colOff>229745</xdr:colOff>
      <xdr:row>61</xdr:row>
      <xdr:rowOff>75112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75841">
          <a:off x="43111" y="8063418"/>
          <a:ext cx="1047694" cy="965194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304801</xdr:colOff>
      <xdr:row>53</xdr:row>
      <xdr:rowOff>198120</xdr:rowOff>
    </xdr:from>
    <xdr:to>
      <xdr:col>6</xdr:col>
      <xdr:colOff>53341</xdr:colOff>
      <xdr:row>56</xdr:row>
      <xdr:rowOff>127635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161" y="7482840"/>
          <a:ext cx="411480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56</xdr:row>
      <xdr:rowOff>121920</xdr:rowOff>
    </xdr:from>
    <xdr:to>
      <xdr:col>6</xdr:col>
      <xdr:colOff>30481</xdr:colOff>
      <xdr:row>60</xdr:row>
      <xdr:rowOff>59055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" y="7962900"/>
          <a:ext cx="426721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K303"/>
  <sheetViews>
    <sheetView showGridLines="0" tabSelected="1" topLeftCell="A19" zoomScaleNormal="100" workbookViewId="0">
      <selection activeCell="AO37" sqref="AO37"/>
    </sheetView>
  </sheetViews>
  <sheetFormatPr defaultColWidth="10.33203125" defaultRowHeight="11.25" customHeight="1" x14ac:dyDescent="0.2"/>
  <cols>
    <col min="1" max="1" width="8.33203125" style="1" customWidth="1"/>
    <col min="2" max="2" width="7.83203125" style="1" customWidth="1"/>
    <col min="3" max="3" width="5" style="1" customWidth="1"/>
    <col min="4" max="4" width="8" style="1" customWidth="1"/>
    <col min="5" max="5" width="2.6640625" style="1" customWidth="1"/>
    <col min="6" max="6" width="1.6640625" style="1" customWidth="1"/>
    <col min="7" max="7" width="5.33203125" style="1" customWidth="1"/>
    <col min="8" max="8" width="3.6640625" style="1" customWidth="1"/>
    <col min="9" max="9" width="2.5" style="1" customWidth="1"/>
    <col min="10" max="11" width="3" style="1" customWidth="1"/>
    <col min="12" max="12" width="2.5" style="1" customWidth="1"/>
    <col min="13" max="13" width="12.83203125" style="1" customWidth="1"/>
    <col min="14" max="14" width="1.1640625" style="1" customWidth="1"/>
    <col min="15" max="15" width="3" style="1" customWidth="1"/>
    <col min="16" max="16" width="1" style="1" customWidth="1"/>
    <col min="17" max="17" width="1.6640625" style="1" customWidth="1"/>
    <col min="18" max="18" width="1.5" style="1" customWidth="1"/>
    <col min="19" max="19" width="7" style="1" customWidth="1"/>
    <col min="20" max="20" width="6.6640625" style="1" customWidth="1"/>
    <col min="21" max="21" width="4.5" style="1" customWidth="1"/>
    <col min="22" max="22" width="5.6640625" style="1" customWidth="1"/>
    <col min="23" max="23" width="13.5" style="1" customWidth="1"/>
    <col min="24" max="24" width="6.83203125" style="1" customWidth="1"/>
    <col min="25" max="25" width="47.83203125" style="2" hidden="1" customWidth="1"/>
    <col min="26" max="26" width="6.5" style="3" hidden="1" customWidth="1"/>
    <col min="27" max="27" width="9" style="3" hidden="1" customWidth="1"/>
    <col min="28" max="28" width="61.6640625" style="2" hidden="1" customWidth="1"/>
    <col min="29" max="29" width="17.83203125" style="4" hidden="1" customWidth="1"/>
    <col min="30" max="30" width="42.5" style="2" hidden="1" customWidth="1"/>
    <col min="31" max="33" width="10.33203125" style="5" hidden="1" customWidth="1"/>
    <col min="34" max="34" width="10.33203125" style="5"/>
    <col min="35" max="16384" width="10.33203125" style="1"/>
  </cols>
  <sheetData>
    <row r="1" spans="1:34" ht="11.25" customHeight="1" x14ac:dyDescent="0.2">
      <c r="X1" s="6"/>
      <c r="Y1" s="7" t="s">
        <v>0</v>
      </c>
      <c r="Z1" s="8">
        <v>4600</v>
      </c>
      <c r="AA1" s="9">
        <v>801628</v>
      </c>
      <c r="AB1" s="10" t="s">
        <v>1</v>
      </c>
      <c r="AC1" s="11" t="s">
        <v>2</v>
      </c>
      <c r="AD1" s="10" t="s">
        <v>3</v>
      </c>
      <c r="AE1" s="5">
        <v>1</v>
      </c>
      <c r="AF1" s="5" t="s">
        <v>4</v>
      </c>
      <c r="AG1" s="5">
        <v>1990</v>
      </c>
    </row>
    <row r="2" spans="1:34" s="12" customFormat="1" ht="22.35" customHeight="1" x14ac:dyDescent="0.2">
      <c r="A2" s="91" t="s">
        <v>5</v>
      </c>
      <c r="B2" s="93"/>
      <c r="C2" s="91" t="s">
        <v>6</v>
      </c>
      <c r="D2" s="92"/>
      <c r="E2" s="93"/>
      <c r="F2" s="91" t="s">
        <v>7</v>
      </c>
      <c r="G2" s="92"/>
      <c r="H2" s="92"/>
      <c r="I2" s="92"/>
      <c r="J2" s="92"/>
      <c r="K2" s="93"/>
      <c r="L2" s="91" t="s">
        <v>8</v>
      </c>
      <c r="M2" s="92"/>
      <c r="N2" s="92"/>
      <c r="O2" s="92"/>
      <c r="P2" s="92"/>
      <c r="Q2" s="92"/>
      <c r="R2" s="92"/>
      <c r="S2" s="92"/>
      <c r="T2" s="93"/>
      <c r="U2" s="91" t="s">
        <v>9</v>
      </c>
      <c r="V2" s="92"/>
      <c r="W2" s="93"/>
      <c r="X2" s="13"/>
      <c r="Y2" s="14" t="s">
        <v>10</v>
      </c>
      <c r="Z2" s="15">
        <v>4603</v>
      </c>
      <c r="AA2" s="16">
        <v>966318</v>
      </c>
      <c r="AB2" s="17" t="s">
        <v>11</v>
      </c>
      <c r="AC2" s="11" t="s">
        <v>12</v>
      </c>
      <c r="AD2" s="10" t="s">
        <v>13</v>
      </c>
      <c r="AE2" s="18">
        <v>2</v>
      </c>
      <c r="AF2" s="18" t="s">
        <v>14</v>
      </c>
      <c r="AG2" s="18">
        <v>1991</v>
      </c>
      <c r="AH2" s="18"/>
    </row>
    <row r="3" spans="1:34" ht="11.25" customHeight="1" x14ac:dyDescent="0.2">
      <c r="A3" s="83">
        <v>1</v>
      </c>
      <c r="B3" s="85"/>
      <c r="C3" s="83">
        <v>2</v>
      </c>
      <c r="D3" s="84"/>
      <c r="E3" s="85"/>
      <c r="F3" s="83">
        <v>3</v>
      </c>
      <c r="G3" s="84"/>
      <c r="H3" s="84"/>
      <c r="I3" s="84"/>
      <c r="J3" s="84"/>
      <c r="K3" s="85"/>
      <c r="L3" s="83">
        <v>4</v>
      </c>
      <c r="M3" s="84"/>
      <c r="N3" s="84"/>
      <c r="O3" s="84"/>
      <c r="P3" s="84"/>
      <c r="Q3" s="84"/>
      <c r="R3" s="84"/>
      <c r="S3" s="84"/>
      <c r="T3" s="85"/>
      <c r="U3" s="83">
        <v>5</v>
      </c>
      <c r="V3" s="84"/>
      <c r="W3" s="85"/>
      <c r="X3" s="20"/>
      <c r="Y3" s="21" t="s">
        <v>15</v>
      </c>
      <c r="Z3" s="8">
        <v>4603</v>
      </c>
      <c r="AA3" s="9">
        <v>860451</v>
      </c>
      <c r="AB3" s="10" t="s">
        <v>16</v>
      </c>
      <c r="AC3" s="11" t="s">
        <v>17</v>
      </c>
      <c r="AD3" s="10" t="s">
        <v>18</v>
      </c>
      <c r="AE3" s="5">
        <v>3</v>
      </c>
      <c r="AF3" s="5" t="s">
        <v>19</v>
      </c>
      <c r="AG3" s="5">
        <v>1992</v>
      </c>
    </row>
    <row r="4" spans="1:34" ht="21" customHeight="1" x14ac:dyDescent="0.2">
      <c r="A4" s="106">
        <v>8252</v>
      </c>
      <c r="B4" s="107"/>
      <c r="C4" s="108">
        <v>45708</v>
      </c>
      <c r="D4" s="109"/>
      <c r="E4" s="110"/>
      <c r="F4" s="111">
        <v>45713</v>
      </c>
      <c r="G4" s="112"/>
      <c r="H4" s="112"/>
      <c r="I4" s="112"/>
      <c r="J4" s="112"/>
      <c r="K4" s="113"/>
      <c r="L4" s="120" t="s">
        <v>521</v>
      </c>
      <c r="M4" s="121"/>
      <c r="N4" s="121"/>
      <c r="O4" s="121"/>
      <c r="P4" s="121"/>
      <c r="Q4" s="121"/>
      <c r="R4" s="121"/>
      <c r="S4" s="121"/>
      <c r="T4" s="122"/>
      <c r="U4" s="123"/>
      <c r="V4" s="124"/>
      <c r="W4" s="125"/>
      <c r="X4" s="22"/>
      <c r="Y4" s="21" t="s">
        <v>20</v>
      </c>
      <c r="Z4" s="8">
        <v>4699</v>
      </c>
      <c r="AA4" s="9">
        <v>240714</v>
      </c>
      <c r="AB4" s="10" t="s">
        <v>11</v>
      </c>
      <c r="AC4" s="11" t="s">
        <v>21</v>
      </c>
      <c r="AD4" s="10" t="s">
        <v>22</v>
      </c>
      <c r="AE4" s="5">
        <v>4</v>
      </c>
      <c r="AF4" s="5" t="s">
        <v>23</v>
      </c>
      <c r="AG4" s="5">
        <v>1993</v>
      </c>
    </row>
    <row r="5" spans="1:34" s="12" customFormat="1" ht="32.85" customHeight="1" x14ac:dyDescent="0.2">
      <c r="A5" s="91" t="s">
        <v>24</v>
      </c>
      <c r="B5" s="92"/>
      <c r="C5" s="92"/>
      <c r="D5" s="92"/>
      <c r="E5" s="92"/>
      <c r="F5" s="92"/>
      <c r="G5" s="93"/>
      <c r="H5" s="91" t="s">
        <v>25</v>
      </c>
      <c r="I5" s="92"/>
      <c r="J5" s="92"/>
      <c r="K5" s="92"/>
      <c r="L5" s="92"/>
      <c r="M5" s="92"/>
      <c r="N5" s="92"/>
      <c r="O5" s="93"/>
      <c r="P5" s="91" t="s">
        <v>26</v>
      </c>
      <c r="Q5" s="92"/>
      <c r="R5" s="92"/>
      <c r="S5" s="92"/>
      <c r="T5" s="92"/>
      <c r="U5" s="92"/>
      <c r="V5" s="92"/>
      <c r="W5" s="93"/>
      <c r="X5" s="22"/>
      <c r="Y5" s="14" t="s">
        <v>27</v>
      </c>
      <c r="Z5" s="15">
        <v>2906</v>
      </c>
      <c r="AA5" s="16">
        <v>159484</v>
      </c>
      <c r="AB5" s="10" t="s">
        <v>28</v>
      </c>
      <c r="AC5" s="11" t="s">
        <v>29</v>
      </c>
      <c r="AD5" s="10" t="s">
        <v>30</v>
      </c>
      <c r="AE5" s="23">
        <v>5</v>
      </c>
      <c r="AF5" s="23" t="s">
        <v>31</v>
      </c>
      <c r="AG5" s="5">
        <v>1994</v>
      </c>
      <c r="AH5" s="23"/>
    </row>
    <row r="6" spans="1:34" ht="11.25" customHeight="1" x14ac:dyDescent="0.2">
      <c r="A6" s="83">
        <v>6</v>
      </c>
      <c r="B6" s="84"/>
      <c r="C6" s="84"/>
      <c r="D6" s="84"/>
      <c r="E6" s="84"/>
      <c r="F6" s="84"/>
      <c r="G6" s="85"/>
      <c r="H6" s="83">
        <v>7</v>
      </c>
      <c r="I6" s="84"/>
      <c r="J6" s="84"/>
      <c r="K6" s="84"/>
      <c r="L6" s="84"/>
      <c r="M6" s="84"/>
      <c r="N6" s="84"/>
      <c r="O6" s="85"/>
      <c r="P6" s="83">
        <v>8</v>
      </c>
      <c r="Q6" s="84"/>
      <c r="R6" s="84"/>
      <c r="S6" s="84"/>
      <c r="T6" s="84"/>
      <c r="U6" s="84"/>
      <c r="V6" s="84"/>
      <c r="W6" s="85"/>
      <c r="X6" s="20"/>
      <c r="Y6" s="21" t="s">
        <v>32</v>
      </c>
      <c r="Z6" s="8">
        <v>2901</v>
      </c>
      <c r="AA6" s="9">
        <v>299281</v>
      </c>
      <c r="AB6" s="10" t="s">
        <v>33</v>
      </c>
      <c r="AC6" s="11" t="s">
        <v>34</v>
      </c>
      <c r="AD6" s="10" t="s">
        <v>35</v>
      </c>
      <c r="AE6" s="5">
        <v>6</v>
      </c>
      <c r="AF6" s="5" t="s">
        <v>36</v>
      </c>
      <c r="AG6" s="18">
        <v>1995</v>
      </c>
    </row>
    <row r="7" spans="1:34" ht="25.5" customHeight="1" x14ac:dyDescent="0.2">
      <c r="A7" s="114" t="s">
        <v>519</v>
      </c>
      <c r="B7" s="115"/>
      <c r="C7" s="115"/>
      <c r="D7" s="115"/>
      <c r="E7" s="115"/>
      <c r="F7" s="115"/>
      <c r="G7" s="116"/>
      <c r="H7" s="117"/>
      <c r="I7" s="118"/>
      <c r="J7" s="118"/>
      <c r="K7" s="118"/>
      <c r="L7" s="118"/>
      <c r="M7" s="118"/>
      <c r="N7" s="118"/>
      <c r="O7" s="119"/>
      <c r="P7" s="94"/>
      <c r="Q7" s="95"/>
      <c r="R7" s="95"/>
      <c r="S7" s="95"/>
      <c r="T7" s="95"/>
      <c r="U7" s="95"/>
      <c r="V7" s="95"/>
      <c r="W7" s="96"/>
      <c r="X7" s="24"/>
      <c r="Y7" s="21" t="s">
        <v>37</v>
      </c>
      <c r="Z7" s="8">
        <v>6004</v>
      </c>
      <c r="AA7" s="9">
        <v>779802</v>
      </c>
      <c r="AB7" s="10" t="s">
        <v>33</v>
      </c>
      <c r="AC7" s="11" t="s">
        <v>38</v>
      </c>
      <c r="AD7" s="10" t="s">
        <v>39</v>
      </c>
      <c r="AE7" s="5">
        <v>7</v>
      </c>
      <c r="AF7" s="25" t="s">
        <v>40</v>
      </c>
      <c r="AG7" s="5">
        <v>1996</v>
      </c>
    </row>
    <row r="8" spans="1:34" ht="12" customHeight="1" thickBot="1" x14ac:dyDescent="0.25">
      <c r="A8" s="98" t="s">
        <v>41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26" t="str">
        <f>LEFT(L4,SEARCH(" ",L4,1))</f>
        <v xml:space="preserve">водитель
Скарякин </v>
      </c>
      <c r="Y8" s="21" t="s">
        <v>42</v>
      </c>
      <c r="Z8" s="8">
        <v>4604</v>
      </c>
      <c r="AA8" s="9">
        <v>792039</v>
      </c>
      <c r="AB8" s="10" t="s">
        <v>1</v>
      </c>
      <c r="AC8" s="11" t="s">
        <v>43</v>
      </c>
      <c r="AD8" s="10" t="s">
        <v>44</v>
      </c>
      <c r="AE8" s="5">
        <v>8</v>
      </c>
      <c r="AF8" s="5" t="s">
        <v>45</v>
      </c>
      <c r="AG8" s="5">
        <v>1997</v>
      </c>
    </row>
    <row r="9" spans="1:34" ht="6" customHeight="1" x14ac:dyDescent="0.2">
      <c r="X9" s="27" t="e">
        <f>IF(OR(LEFT(A7,2)="ИП",LEFT(A7,5)="ПБОЮЛ"),X11,X16)</f>
        <v>#VALUE!</v>
      </c>
      <c r="Y9" s="21" t="s">
        <v>46</v>
      </c>
      <c r="Z9" s="8">
        <v>4608</v>
      </c>
      <c r="AA9" s="9">
        <v>111657</v>
      </c>
      <c r="AB9" s="10" t="s">
        <v>47</v>
      </c>
      <c r="AC9" s="11" t="s">
        <v>48</v>
      </c>
      <c r="AD9" s="10" t="s">
        <v>49</v>
      </c>
      <c r="AE9" s="5">
        <v>9</v>
      </c>
      <c r="AF9" s="5" t="s">
        <v>50</v>
      </c>
      <c r="AG9" s="5">
        <v>1998</v>
      </c>
    </row>
    <row r="10" spans="1:34" ht="11.25" customHeight="1" x14ac:dyDescent="0.2">
      <c r="W10" s="28" t="s">
        <v>51</v>
      </c>
      <c r="X10" s="29"/>
      <c r="Y10" s="21" t="s">
        <v>52</v>
      </c>
      <c r="Z10" s="8">
        <v>4601</v>
      </c>
      <c r="AA10" s="9">
        <v>164088</v>
      </c>
      <c r="AB10" s="10" t="s">
        <v>16</v>
      </c>
      <c r="AC10" s="11" t="s">
        <v>53</v>
      </c>
      <c r="AD10" s="10" t="s">
        <v>54</v>
      </c>
      <c r="AE10" s="18">
        <v>10</v>
      </c>
      <c r="AF10" s="5" t="s">
        <v>55</v>
      </c>
      <c r="AG10" s="18">
        <v>1999</v>
      </c>
    </row>
    <row r="11" spans="1:34" ht="11.25" customHeight="1" x14ac:dyDescent="0.2">
      <c r="W11" s="28" t="s">
        <v>56</v>
      </c>
      <c r="X11" s="29" t="str">
        <f>RIGHT(A7,LEN(A7)-FIND(" ",A7,1))</f>
        <v xml:space="preserve">«ТехСервис»
</v>
      </c>
      <c r="Y11" s="21" t="s">
        <v>57</v>
      </c>
      <c r="Z11" s="8">
        <v>4603</v>
      </c>
      <c r="AA11" s="9">
        <v>966501</v>
      </c>
      <c r="AB11" s="10" t="s">
        <v>58</v>
      </c>
      <c r="AC11" s="11" t="s">
        <v>59</v>
      </c>
      <c r="AD11" s="10" t="s">
        <v>60</v>
      </c>
      <c r="AE11" s="5">
        <v>11</v>
      </c>
      <c r="AF11" s="5" t="s">
        <v>61</v>
      </c>
      <c r="AG11" s="5">
        <v>2000</v>
      </c>
    </row>
    <row r="12" spans="1:34" ht="12" customHeight="1" thickBot="1" x14ac:dyDescent="0.25">
      <c r="W12" s="30" t="s">
        <v>62</v>
      </c>
      <c r="X12" s="31"/>
      <c r="Y12" s="21" t="s">
        <v>63</v>
      </c>
      <c r="Z12" s="8">
        <v>4611</v>
      </c>
      <c r="AA12" s="9">
        <v>68773</v>
      </c>
      <c r="AB12" s="10" t="s">
        <v>64</v>
      </c>
      <c r="AC12" s="32" t="s">
        <v>65</v>
      </c>
      <c r="AD12" s="10" t="s">
        <v>66</v>
      </c>
      <c r="AE12" s="5">
        <v>12</v>
      </c>
      <c r="AF12" s="5" t="s">
        <v>67</v>
      </c>
      <c r="AG12" s="5">
        <v>2001</v>
      </c>
    </row>
    <row r="13" spans="1:34" ht="12.75" customHeight="1" x14ac:dyDescent="0.2">
      <c r="U13" s="33"/>
      <c r="V13" s="33" t="s">
        <v>68</v>
      </c>
      <c r="W13" s="34"/>
      <c r="X13" s="35">
        <f>LEN(A7)</f>
        <v>16</v>
      </c>
      <c r="Y13" s="21" t="s">
        <v>69</v>
      </c>
      <c r="Z13" s="8">
        <v>7009</v>
      </c>
      <c r="AA13" s="9">
        <v>176626</v>
      </c>
      <c r="AB13" s="10" t="s">
        <v>70</v>
      </c>
      <c r="AC13" s="32" t="s">
        <v>71</v>
      </c>
      <c r="AD13" s="10" t="s">
        <v>72</v>
      </c>
      <c r="AE13" s="23">
        <v>13</v>
      </c>
      <c r="AG13" s="5">
        <v>2002</v>
      </c>
    </row>
    <row r="14" spans="1:34" ht="32.85" customHeight="1" thickBot="1" x14ac:dyDescent="0.25">
      <c r="A14" s="33"/>
      <c r="B14" s="33"/>
      <c r="C14" s="33"/>
      <c r="D14" s="33" t="s">
        <v>73</v>
      </c>
      <c r="E14" s="99" t="s">
        <v>520</v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33"/>
      <c r="V14" s="33" t="s">
        <v>74</v>
      </c>
      <c r="W14" s="36">
        <v>51647393</v>
      </c>
      <c r="X14" s="37" t="e">
        <f>FIND(CHAR(34),A7,1)</f>
        <v>#VALUE!</v>
      </c>
      <c r="Y14" s="21" t="s">
        <v>75</v>
      </c>
      <c r="Z14" s="8">
        <v>2903</v>
      </c>
      <c r="AA14" s="9">
        <v>675237</v>
      </c>
      <c r="AB14" s="10" t="s">
        <v>33</v>
      </c>
      <c r="AC14" s="32" t="s">
        <v>76</v>
      </c>
      <c r="AD14" s="10" t="s">
        <v>77</v>
      </c>
      <c r="AE14" s="5">
        <v>14</v>
      </c>
      <c r="AG14" s="18">
        <v>2003</v>
      </c>
    </row>
    <row r="15" spans="1:34" ht="11.25" customHeight="1" x14ac:dyDescent="0.2">
      <c r="G15" s="38" t="s">
        <v>78</v>
      </c>
      <c r="H15" s="38"/>
      <c r="I15" s="38"/>
      <c r="J15" s="38"/>
      <c r="X15" s="39" t="e">
        <f>RIGHT(A7,X13-X14)</f>
        <v>#VALUE!</v>
      </c>
      <c r="Y15" s="21" t="s">
        <v>79</v>
      </c>
      <c r="Z15" s="8">
        <v>4608</v>
      </c>
      <c r="AA15" s="9">
        <v>610344</v>
      </c>
      <c r="AB15" s="10" t="s">
        <v>80</v>
      </c>
      <c r="AC15" s="32" t="s">
        <v>81</v>
      </c>
      <c r="AD15" s="10" t="s">
        <v>82</v>
      </c>
      <c r="AE15" s="5">
        <v>15</v>
      </c>
      <c r="AG15" s="5">
        <v>2004</v>
      </c>
    </row>
    <row r="16" spans="1:34" ht="8.1" customHeight="1" x14ac:dyDescent="0.2">
      <c r="X16" s="39" t="e">
        <f>LEFT(X15,LEN(X15)-1)</f>
        <v>#VALUE!</v>
      </c>
      <c r="Y16" s="21" t="s">
        <v>83</v>
      </c>
      <c r="Z16" s="8">
        <v>2902</v>
      </c>
      <c r="AA16" s="9">
        <v>566149</v>
      </c>
      <c r="AB16" s="10" t="s">
        <v>84</v>
      </c>
      <c r="AC16" s="32" t="s">
        <v>85</v>
      </c>
      <c r="AD16" s="10" t="s">
        <v>86</v>
      </c>
      <c r="AE16" s="5">
        <v>16</v>
      </c>
      <c r="AG16" s="5">
        <v>2005</v>
      </c>
    </row>
    <row r="17" spans="1:37" s="5" customFormat="1" ht="13.35" customHeight="1" x14ac:dyDescent="0.2">
      <c r="A17" s="1"/>
      <c r="B17" s="1"/>
      <c r="C17" s="1"/>
      <c r="D17" s="1"/>
      <c r="E17" s="40" t="s">
        <v>87</v>
      </c>
      <c r="F17" s="40"/>
      <c r="G17" s="1"/>
      <c r="H17" s="1"/>
      <c r="I17" s="1"/>
      <c r="J17" s="1"/>
      <c r="K17" s="1"/>
      <c r="L17" s="1"/>
      <c r="M17" s="100">
        <v>8252</v>
      </c>
      <c r="N17" s="100"/>
      <c r="O17" s="100"/>
      <c r="P17" s="100"/>
      <c r="Q17" s="100"/>
      <c r="R17" s="100"/>
      <c r="S17" s="100"/>
      <c r="T17" s="100"/>
      <c r="U17" s="1"/>
      <c r="V17" s="1"/>
      <c r="W17" s="1"/>
      <c r="X17" s="39"/>
      <c r="Y17" s="21" t="s">
        <v>88</v>
      </c>
      <c r="Z17" s="8" t="s">
        <v>89</v>
      </c>
      <c r="AA17" s="9" t="s">
        <v>90</v>
      </c>
      <c r="AB17" s="10" t="s">
        <v>91</v>
      </c>
      <c r="AC17" s="32" t="s">
        <v>92</v>
      </c>
      <c r="AD17" s="10" t="s">
        <v>93</v>
      </c>
      <c r="AE17" s="5">
        <v>17</v>
      </c>
      <c r="AG17" s="5">
        <v>2006</v>
      </c>
      <c r="AI17" s="1"/>
      <c r="AJ17" s="1"/>
      <c r="AK17" s="1"/>
    </row>
    <row r="18" spans="1:37" s="5" customFormat="1" ht="8.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39"/>
      <c r="Y18" s="21" t="s">
        <v>94</v>
      </c>
      <c r="Z18" s="8" t="s">
        <v>95</v>
      </c>
      <c r="AA18" s="9" t="s">
        <v>96</v>
      </c>
      <c r="AB18" s="10" t="s">
        <v>97</v>
      </c>
      <c r="AC18" s="32" t="s">
        <v>98</v>
      </c>
      <c r="AD18" s="10" t="s">
        <v>99</v>
      </c>
      <c r="AE18" s="18">
        <v>18</v>
      </c>
      <c r="AG18" s="18">
        <v>2007</v>
      </c>
      <c r="AI18" s="1"/>
      <c r="AJ18" s="1"/>
      <c r="AK18" s="1"/>
    </row>
    <row r="19" spans="1:37" s="5" customFormat="1" ht="11.85" customHeight="1" x14ac:dyDescent="0.2">
      <c r="A19" s="1"/>
      <c r="B19" s="1"/>
      <c r="C19" s="1"/>
      <c r="D19" s="1"/>
      <c r="E19" s="41"/>
      <c r="F19" s="41" t="s">
        <v>100</v>
      </c>
      <c r="G19" s="101">
        <f>C4</f>
        <v>45708</v>
      </c>
      <c r="H19" s="102"/>
      <c r="I19" s="102"/>
      <c r="J19" s="102"/>
      <c r="K19" s="102"/>
      <c r="L19" s="10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39"/>
      <c r="Y19" s="21" t="s">
        <v>101</v>
      </c>
      <c r="Z19" s="8" t="s">
        <v>102</v>
      </c>
      <c r="AA19" s="9" t="s">
        <v>103</v>
      </c>
      <c r="AB19" s="10" t="s">
        <v>104</v>
      </c>
      <c r="AC19" s="32" t="s">
        <v>105</v>
      </c>
      <c r="AD19" s="10" t="s">
        <v>106</v>
      </c>
      <c r="AE19" s="5">
        <v>19</v>
      </c>
      <c r="AG19" s="5">
        <v>2008</v>
      </c>
      <c r="AI19" s="1"/>
      <c r="AJ19" s="1"/>
      <c r="AK19" s="1"/>
    </row>
    <row r="20" spans="1:37" s="5" customFormat="1" ht="11.85" customHeight="1" x14ac:dyDescent="0.2">
      <c r="A20" s="1"/>
      <c r="B20" s="1"/>
      <c r="C20" s="1"/>
      <c r="D20" s="1"/>
      <c r="E20" s="41"/>
      <c r="F20" s="41" t="s">
        <v>107</v>
      </c>
      <c r="G20" s="101">
        <f>F4</f>
        <v>45713</v>
      </c>
      <c r="H20" s="102"/>
      <c r="I20" s="102"/>
      <c r="J20" s="102"/>
      <c r="K20" s="102"/>
      <c r="L20" s="10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39"/>
      <c r="Y20" s="21" t="s">
        <v>108</v>
      </c>
      <c r="Z20" s="8" t="s">
        <v>109</v>
      </c>
      <c r="AA20" s="9" t="s">
        <v>110</v>
      </c>
      <c r="AB20" s="10" t="s">
        <v>111</v>
      </c>
      <c r="AC20" s="32" t="s">
        <v>112</v>
      </c>
      <c r="AD20" s="10" t="s">
        <v>113</v>
      </c>
      <c r="AE20" s="5">
        <v>20</v>
      </c>
      <c r="AG20" s="5">
        <v>2009</v>
      </c>
      <c r="AI20" s="1"/>
      <c r="AJ20" s="1"/>
      <c r="AK20" s="1"/>
    </row>
    <row r="21" spans="1:37" s="5" customFormat="1" ht="8.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39"/>
      <c r="Y21" s="21" t="s">
        <v>114</v>
      </c>
      <c r="Z21" s="8" t="s">
        <v>115</v>
      </c>
      <c r="AA21" s="9" t="s">
        <v>116</v>
      </c>
      <c r="AB21" s="10" t="s">
        <v>117</v>
      </c>
      <c r="AC21" s="32" t="s">
        <v>118</v>
      </c>
      <c r="AD21" s="10" t="s">
        <v>119</v>
      </c>
      <c r="AE21" s="23">
        <v>21</v>
      </c>
      <c r="AG21" s="5">
        <v>2010</v>
      </c>
      <c r="AI21" s="1"/>
      <c r="AJ21" s="1"/>
      <c r="AK21" s="1"/>
    </row>
    <row r="22" spans="1:37" s="5" customFormat="1" ht="22.35" customHeight="1" x14ac:dyDescent="0.2">
      <c r="A22" s="104" t="s">
        <v>515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42"/>
      <c r="Y22" s="21" t="s">
        <v>120</v>
      </c>
      <c r="Z22" s="8" t="s">
        <v>121</v>
      </c>
      <c r="AA22" s="9" t="s">
        <v>122</v>
      </c>
      <c r="AB22" s="10" t="s">
        <v>84</v>
      </c>
      <c r="AC22" s="32" t="s">
        <v>123</v>
      </c>
      <c r="AD22" s="10" t="s">
        <v>124</v>
      </c>
      <c r="AE22" s="5">
        <v>22</v>
      </c>
      <c r="AG22" s="18">
        <v>2011</v>
      </c>
      <c r="AI22" s="1"/>
      <c r="AJ22" s="1"/>
      <c r="AK22" s="1"/>
    </row>
    <row r="23" spans="1:37" s="5" customFormat="1" ht="8.1" customHeight="1" x14ac:dyDescent="0.2">
      <c r="A23" s="70" t="s">
        <v>125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43"/>
      <c r="Y23" s="21" t="s">
        <v>126</v>
      </c>
      <c r="Z23" s="8" t="s">
        <v>127</v>
      </c>
      <c r="AA23" s="9" t="s">
        <v>128</v>
      </c>
      <c r="AB23" s="10" t="s">
        <v>129</v>
      </c>
      <c r="AC23" s="32" t="s">
        <v>130</v>
      </c>
      <c r="AD23" s="10" t="s">
        <v>131</v>
      </c>
      <c r="AE23" s="5">
        <v>23</v>
      </c>
      <c r="AG23" s="5">
        <v>2012</v>
      </c>
      <c r="AI23" s="1"/>
      <c r="AJ23" s="1"/>
      <c r="AK23" s="1"/>
    </row>
    <row r="24" spans="1:37" s="5" customFormat="1" ht="8.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1" t="s">
        <v>132</v>
      </c>
      <c r="Z24" s="8" t="s">
        <v>89</v>
      </c>
      <c r="AA24" s="9" t="s">
        <v>133</v>
      </c>
      <c r="AB24" s="10" t="s">
        <v>134</v>
      </c>
      <c r="AC24" s="32" t="s">
        <v>135</v>
      </c>
      <c r="AD24" s="10" t="s">
        <v>136</v>
      </c>
      <c r="AE24" s="5">
        <v>24</v>
      </c>
      <c r="AG24" s="5">
        <v>2013</v>
      </c>
      <c r="AI24" s="1"/>
      <c r="AJ24" s="1"/>
      <c r="AK24" s="1"/>
    </row>
    <row r="25" spans="1:37" s="5" customFormat="1" ht="22.35" customHeight="1" x14ac:dyDescent="0.2">
      <c r="A25" s="104" t="s">
        <v>515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44"/>
      <c r="Y25" s="21" t="s">
        <v>137</v>
      </c>
      <c r="Z25" s="8" t="s">
        <v>138</v>
      </c>
      <c r="AA25" s="9" t="s">
        <v>139</v>
      </c>
      <c r="AB25" s="10" t="s">
        <v>140</v>
      </c>
      <c r="AC25" s="32" t="s">
        <v>141</v>
      </c>
      <c r="AD25" s="10" t="s">
        <v>142</v>
      </c>
      <c r="AE25" s="5">
        <v>25</v>
      </c>
      <c r="AI25" s="1"/>
      <c r="AJ25" s="1"/>
      <c r="AK25" s="1"/>
    </row>
    <row r="26" spans="1:37" s="5" customFormat="1" ht="8.1" customHeight="1" x14ac:dyDescent="0.2">
      <c r="A26" s="70" t="s">
        <v>143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43"/>
      <c r="Y26" s="21" t="s">
        <v>144</v>
      </c>
      <c r="Z26" s="8" t="s">
        <v>95</v>
      </c>
      <c r="AA26" s="9" t="s">
        <v>145</v>
      </c>
      <c r="AB26" s="10" t="s">
        <v>146</v>
      </c>
      <c r="AC26" s="32" t="s">
        <v>147</v>
      </c>
      <c r="AD26" s="10" t="s">
        <v>148</v>
      </c>
      <c r="AE26" s="18">
        <v>26</v>
      </c>
      <c r="AI26" s="1"/>
      <c r="AJ26" s="1"/>
      <c r="AK26" s="1"/>
    </row>
    <row r="27" spans="1:37" s="5" customFormat="1" ht="8.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1" t="s">
        <v>149</v>
      </c>
      <c r="Z27" s="8" t="s">
        <v>150</v>
      </c>
      <c r="AA27" s="9" t="s">
        <v>151</v>
      </c>
      <c r="AB27" s="10" t="s">
        <v>152</v>
      </c>
      <c r="AC27" s="32" t="s">
        <v>153</v>
      </c>
      <c r="AD27" s="10" t="s">
        <v>154</v>
      </c>
      <c r="AE27" s="5">
        <v>27</v>
      </c>
      <c r="AI27" s="1"/>
      <c r="AJ27" s="1"/>
      <c r="AK27" s="1"/>
    </row>
    <row r="28" spans="1:37" s="5" customFormat="1" ht="11.25" customHeight="1" x14ac:dyDescent="0.2">
      <c r="A28" s="41"/>
      <c r="B28" s="41"/>
      <c r="C28" s="41"/>
      <c r="D28" s="41" t="s">
        <v>155</v>
      </c>
      <c r="E28" s="99" t="s">
        <v>517</v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44"/>
      <c r="Y28" s="21" t="s">
        <v>156</v>
      </c>
      <c r="Z28" s="8" t="s">
        <v>157</v>
      </c>
      <c r="AA28" s="9" t="s">
        <v>158</v>
      </c>
      <c r="AB28" s="10" t="s">
        <v>104</v>
      </c>
      <c r="AC28" s="32" t="s">
        <v>159</v>
      </c>
      <c r="AD28" s="10" t="s">
        <v>160</v>
      </c>
      <c r="AE28" s="5">
        <v>28</v>
      </c>
      <c r="AI28" s="1"/>
      <c r="AJ28" s="1"/>
      <c r="AK28" s="1"/>
    </row>
    <row r="29" spans="1:37" s="5" customFormat="1" ht="11.25" customHeight="1" x14ac:dyDescent="0.2">
      <c r="A29" s="41"/>
      <c r="B29" s="41"/>
      <c r="C29" s="41"/>
      <c r="D29" s="4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44"/>
      <c r="Y29" s="21" t="s">
        <v>161</v>
      </c>
      <c r="Z29" s="8" t="s">
        <v>162</v>
      </c>
      <c r="AA29" s="9" t="s">
        <v>163</v>
      </c>
      <c r="AB29" s="10" t="s">
        <v>164</v>
      </c>
      <c r="AC29" s="32" t="s">
        <v>165</v>
      </c>
      <c r="AD29" s="10" t="s">
        <v>166</v>
      </c>
      <c r="AE29" s="23">
        <v>29</v>
      </c>
      <c r="AI29" s="1"/>
      <c r="AJ29" s="1"/>
      <c r="AK29" s="1"/>
    </row>
    <row r="30" spans="1:37" s="5" customFormat="1" ht="8.1" customHeight="1" x14ac:dyDescent="0.2">
      <c r="A30" s="105" t="s">
        <v>167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"/>
      <c r="Y30" s="21" t="s">
        <v>168</v>
      </c>
      <c r="Z30" s="8" t="s">
        <v>150</v>
      </c>
      <c r="AA30" s="9" t="s">
        <v>169</v>
      </c>
      <c r="AB30" s="10" t="s">
        <v>170</v>
      </c>
      <c r="AC30" s="32" t="s">
        <v>171</v>
      </c>
      <c r="AD30" s="10" t="s">
        <v>172</v>
      </c>
      <c r="AE30" s="5">
        <v>30</v>
      </c>
      <c r="AI30" s="1"/>
      <c r="AJ30" s="1"/>
      <c r="AK30" s="1"/>
    </row>
    <row r="31" spans="1:37" s="5" customFormat="1" ht="11.85" customHeight="1" x14ac:dyDescent="0.2">
      <c r="A31" s="41"/>
      <c r="B31" s="41"/>
      <c r="C31" s="41"/>
      <c r="D31" s="41" t="s">
        <v>173</v>
      </c>
      <c r="E31" s="45"/>
      <c r="F31" s="45"/>
      <c r="G31" s="45"/>
      <c r="H31" s="45"/>
      <c r="I31" s="45"/>
      <c r="J31" s="45"/>
      <c r="K31" s="45"/>
      <c r="L31" s="45"/>
      <c r="M31" s="45" t="s">
        <v>514</v>
      </c>
      <c r="N31" s="1"/>
      <c r="O31" s="97" t="s">
        <v>522</v>
      </c>
      <c r="P31" s="68"/>
      <c r="Q31" s="68"/>
      <c r="R31" s="68"/>
      <c r="S31" s="68"/>
      <c r="T31" s="68"/>
      <c r="U31" s="68"/>
      <c r="V31" s="68"/>
      <c r="W31" s="68"/>
      <c r="X31" s="46"/>
      <c r="Y31" s="21" t="s">
        <v>174</v>
      </c>
      <c r="Z31" s="8" t="s">
        <v>150</v>
      </c>
      <c r="AA31" s="9" t="s">
        <v>175</v>
      </c>
      <c r="AB31" s="10" t="s">
        <v>176</v>
      </c>
      <c r="AC31" s="32" t="s">
        <v>177</v>
      </c>
      <c r="AD31" s="10" t="s">
        <v>178</v>
      </c>
      <c r="AE31" s="5">
        <v>31</v>
      </c>
      <c r="AI31" s="1"/>
      <c r="AJ31" s="1"/>
      <c r="AK31" s="1"/>
    </row>
    <row r="32" spans="1:37" s="5" customFormat="1" ht="8.1" customHeight="1" x14ac:dyDescent="0.2">
      <c r="A32" s="1"/>
      <c r="B32" s="1"/>
      <c r="C32" s="1"/>
      <c r="D32" s="1"/>
      <c r="E32" s="38" t="s">
        <v>179</v>
      </c>
      <c r="F32" s="38"/>
      <c r="G32" s="38"/>
      <c r="H32" s="38"/>
      <c r="I32" s="38"/>
      <c r="J32" s="38"/>
      <c r="K32" s="38"/>
      <c r="L32" s="38"/>
      <c r="M32" s="38"/>
      <c r="N32" s="1"/>
      <c r="O32" s="70" t="s">
        <v>180</v>
      </c>
      <c r="P32" s="70"/>
      <c r="Q32" s="70"/>
      <c r="R32" s="70"/>
      <c r="S32" s="70"/>
      <c r="T32" s="70"/>
      <c r="U32" s="70"/>
      <c r="V32" s="70"/>
      <c r="W32" s="70"/>
      <c r="X32" s="38"/>
      <c r="Y32" s="21" t="s">
        <v>181</v>
      </c>
      <c r="Z32" s="8" t="s">
        <v>182</v>
      </c>
      <c r="AA32" s="9" t="s">
        <v>183</v>
      </c>
      <c r="AB32" s="10" t="s">
        <v>184</v>
      </c>
      <c r="AC32" s="32" t="s">
        <v>185</v>
      </c>
      <c r="AD32" s="10" t="s">
        <v>186</v>
      </c>
      <c r="AI32" s="1"/>
      <c r="AJ32" s="1"/>
      <c r="AK32" s="1"/>
    </row>
    <row r="33" spans="1:34" ht="11.85" customHeight="1" x14ac:dyDescent="0.2">
      <c r="A33" s="41"/>
      <c r="B33" s="41"/>
      <c r="C33" s="41"/>
      <c r="D33" s="41" t="s">
        <v>187</v>
      </c>
      <c r="E33" s="86" t="s">
        <v>523</v>
      </c>
      <c r="F33" s="86"/>
      <c r="G33" s="86"/>
      <c r="H33" s="86"/>
      <c r="I33" s="86"/>
      <c r="J33" s="86"/>
      <c r="K33" s="1" t="s">
        <v>188</v>
      </c>
      <c r="M33" s="86" t="s">
        <v>524</v>
      </c>
      <c r="N33" s="86"/>
      <c r="O33" s="86"/>
      <c r="P33" s="86"/>
      <c r="Q33" s="86"/>
      <c r="R33" s="86"/>
      <c r="S33" s="86"/>
      <c r="T33" s="86"/>
      <c r="Y33" s="21" t="s">
        <v>189</v>
      </c>
      <c r="Z33" s="8" t="s">
        <v>150</v>
      </c>
      <c r="AA33" s="9" t="s">
        <v>190</v>
      </c>
      <c r="AB33" s="10" t="s">
        <v>176</v>
      </c>
      <c r="AC33" s="32" t="s">
        <v>191</v>
      </c>
      <c r="AD33" s="10" t="s">
        <v>192</v>
      </c>
    </row>
    <row r="34" spans="1:34" ht="24" customHeight="1" x14ac:dyDescent="0.2">
      <c r="A34" s="41"/>
      <c r="B34" s="41"/>
      <c r="C34" s="41"/>
      <c r="D34" s="41" t="s">
        <v>193</v>
      </c>
      <c r="E34" s="87" t="s">
        <v>525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46"/>
      <c r="Y34" s="21" t="s">
        <v>194</v>
      </c>
      <c r="Z34" s="8" t="s">
        <v>195</v>
      </c>
      <c r="AA34" s="9" t="s">
        <v>196</v>
      </c>
      <c r="AB34" s="10" t="s">
        <v>197</v>
      </c>
      <c r="AC34" s="32" t="s">
        <v>198</v>
      </c>
      <c r="AD34" s="10" t="s">
        <v>199</v>
      </c>
    </row>
    <row r="35" spans="1:34" ht="11.85" customHeight="1" x14ac:dyDescent="0.2">
      <c r="A35" s="41"/>
      <c r="B35" s="41"/>
      <c r="C35" s="41"/>
      <c r="D35" s="41" t="s">
        <v>6</v>
      </c>
      <c r="E35" s="88">
        <v>41575</v>
      </c>
      <c r="F35" s="88"/>
      <c r="G35" s="88"/>
      <c r="H35" s="88"/>
      <c r="I35" s="88"/>
      <c r="J35" s="88"/>
      <c r="K35" s="88"/>
      <c r="L35" s="88"/>
      <c r="X35" s="46"/>
      <c r="Y35" s="21" t="s">
        <v>200</v>
      </c>
      <c r="Z35" s="8" t="s">
        <v>89</v>
      </c>
      <c r="AA35" s="9" t="s">
        <v>201</v>
      </c>
      <c r="AB35" s="10" t="s">
        <v>202</v>
      </c>
      <c r="AC35" s="32" t="s">
        <v>203</v>
      </c>
      <c r="AD35" s="10" t="s">
        <v>204</v>
      </c>
    </row>
    <row r="36" spans="1:34" ht="8.1" customHeight="1" x14ac:dyDescent="0.2">
      <c r="Y36" s="21" t="s">
        <v>205</v>
      </c>
      <c r="Z36" s="8" t="s">
        <v>157</v>
      </c>
      <c r="AA36" s="9" t="s">
        <v>206</v>
      </c>
      <c r="AB36" s="10" t="s">
        <v>207</v>
      </c>
      <c r="AC36" s="32" t="s">
        <v>208</v>
      </c>
      <c r="AD36" s="10" t="s">
        <v>209</v>
      </c>
    </row>
    <row r="37" spans="1:34" ht="11.85" customHeight="1" x14ac:dyDescent="0.2">
      <c r="A37" s="41"/>
      <c r="B37" s="41"/>
      <c r="C37" s="41"/>
      <c r="D37" s="41" t="s">
        <v>210</v>
      </c>
      <c r="E37" s="89" t="s">
        <v>518</v>
      </c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46"/>
      <c r="Y37" s="21" t="s">
        <v>211</v>
      </c>
      <c r="Z37" s="8" t="s">
        <v>212</v>
      </c>
      <c r="AA37" s="9" t="s">
        <v>213</v>
      </c>
      <c r="AB37" s="10" t="s">
        <v>214</v>
      </c>
      <c r="AC37" s="32" t="s">
        <v>215</v>
      </c>
      <c r="AD37" s="10" t="s">
        <v>216</v>
      </c>
    </row>
    <row r="38" spans="1:34" ht="8.1" customHeight="1" x14ac:dyDescent="0.2">
      <c r="G38" s="38" t="s">
        <v>217</v>
      </c>
      <c r="H38" s="38"/>
      <c r="I38" s="38"/>
      <c r="J38" s="38"/>
      <c r="Y38" s="21" t="s">
        <v>218</v>
      </c>
      <c r="Z38" s="8" t="s">
        <v>109</v>
      </c>
      <c r="AA38" s="9" t="s">
        <v>219</v>
      </c>
      <c r="AB38" s="10" t="s">
        <v>220</v>
      </c>
      <c r="AC38" s="32" t="s">
        <v>221</v>
      </c>
      <c r="AD38" s="10" t="s">
        <v>222</v>
      </c>
    </row>
    <row r="39" spans="1:34" ht="19.899999999999999" customHeight="1" x14ac:dyDescent="0.2">
      <c r="A39" s="1" t="s">
        <v>223</v>
      </c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46"/>
      <c r="Y39" s="21" t="s">
        <v>224</v>
      </c>
      <c r="Z39" s="8" t="s">
        <v>225</v>
      </c>
      <c r="AA39" s="9" t="s">
        <v>226</v>
      </c>
      <c r="AB39" s="10" t="s">
        <v>207</v>
      </c>
      <c r="AC39" s="32" t="s">
        <v>227</v>
      </c>
      <c r="AD39" s="10" t="s">
        <v>228</v>
      </c>
    </row>
    <row r="40" spans="1:34" ht="8.1" customHeight="1" x14ac:dyDescent="0.2">
      <c r="G40" s="38" t="s">
        <v>229</v>
      </c>
      <c r="H40" s="38"/>
      <c r="I40" s="38"/>
      <c r="J40" s="38"/>
      <c r="Y40" s="21" t="s">
        <v>230</v>
      </c>
      <c r="Z40" s="8" t="s">
        <v>231</v>
      </c>
      <c r="AA40" s="9" t="s">
        <v>232</v>
      </c>
      <c r="AB40" s="10" t="s">
        <v>233</v>
      </c>
      <c r="AC40" s="32" t="s">
        <v>234</v>
      </c>
      <c r="AD40" s="10" t="s">
        <v>235</v>
      </c>
    </row>
    <row r="41" spans="1:34" ht="11.25" customHeight="1" x14ac:dyDescent="0.2">
      <c r="A41" s="47"/>
      <c r="B41" s="47"/>
      <c r="C41" s="47"/>
      <c r="D41" s="47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Y41" s="21" t="s">
        <v>236</v>
      </c>
      <c r="Z41" s="8" t="s">
        <v>195</v>
      </c>
      <c r="AA41" s="9" t="s">
        <v>237</v>
      </c>
      <c r="AB41" s="10" t="s">
        <v>238</v>
      </c>
      <c r="AC41" s="32" t="s">
        <v>239</v>
      </c>
      <c r="AD41" s="10" t="s">
        <v>240</v>
      </c>
    </row>
    <row r="42" spans="1:34" ht="6.6" customHeight="1" x14ac:dyDescent="0.2">
      <c r="Y42" s="21" t="s">
        <v>241</v>
      </c>
      <c r="Z42" s="8" t="s">
        <v>242</v>
      </c>
      <c r="AA42" s="9" t="s">
        <v>243</v>
      </c>
      <c r="AB42" s="10" t="s">
        <v>244</v>
      </c>
      <c r="AC42" s="32" t="s">
        <v>245</v>
      </c>
      <c r="AD42" s="10" t="s">
        <v>246</v>
      </c>
    </row>
    <row r="43" spans="1:34" ht="11.25" hidden="1" customHeight="1" x14ac:dyDescent="0.2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49"/>
      <c r="Y43" s="21" t="s">
        <v>247</v>
      </c>
      <c r="Z43" s="8" t="s">
        <v>248</v>
      </c>
      <c r="AA43" s="9" t="s">
        <v>249</v>
      </c>
      <c r="AB43" s="10" t="s">
        <v>250</v>
      </c>
      <c r="AC43" s="32" t="s">
        <v>251</v>
      </c>
      <c r="AD43" s="10"/>
    </row>
    <row r="44" spans="1:34" s="12" customFormat="1" ht="5.0999999999999996" hidden="1" customHeight="1" x14ac:dyDescent="0.2">
      <c r="Y44" s="14"/>
      <c r="Z44" s="15"/>
      <c r="AA44" s="16"/>
      <c r="AB44" s="10"/>
      <c r="AC44" s="32"/>
      <c r="AD44" s="50"/>
      <c r="AE44" s="23"/>
      <c r="AF44" s="23"/>
      <c r="AG44" s="23"/>
      <c r="AH44" s="23"/>
    </row>
    <row r="45" spans="1:34" s="12" customFormat="1" ht="32.85" customHeight="1" x14ac:dyDescent="0.2">
      <c r="A45" s="51" t="s">
        <v>252</v>
      </c>
      <c r="B45" s="91" t="s">
        <v>253</v>
      </c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3"/>
      <c r="Q45" s="91" t="s">
        <v>254</v>
      </c>
      <c r="R45" s="92"/>
      <c r="S45" s="93"/>
      <c r="T45" s="91" t="s">
        <v>255</v>
      </c>
      <c r="U45" s="92"/>
      <c r="V45" s="92"/>
      <c r="W45" s="93"/>
      <c r="X45" s="52"/>
      <c r="Y45" s="14"/>
      <c r="Z45" s="15"/>
      <c r="AA45" s="16"/>
      <c r="AB45" s="10"/>
      <c r="AC45" s="32"/>
      <c r="AD45" s="50" t="s">
        <v>77</v>
      </c>
      <c r="AE45" s="23"/>
      <c r="AF45" s="23"/>
      <c r="AG45" s="23"/>
      <c r="AH45" s="23"/>
    </row>
    <row r="46" spans="1:34" ht="8.4499999999999993" customHeight="1" x14ac:dyDescent="0.2">
      <c r="A46" s="19"/>
      <c r="B46" s="83">
        <v>2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5"/>
      <c r="Q46" s="83">
        <v>3</v>
      </c>
      <c r="R46" s="84"/>
      <c r="S46" s="85"/>
      <c r="T46" s="83">
        <v>4</v>
      </c>
      <c r="U46" s="84"/>
      <c r="V46" s="84"/>
      <c r="W46" s="85"/>
      <c r="X46" s="53"/>
      <c r="Y46" s="21"/>
      <c r="Z46" s="8"/>
      <c r="AA46" s="9"/>
      <c r="AB46" s="10"/>
      <c r="AC46" s="32"/>
      <c r="AD46" s="10" t="s">
        <v>256</v>
      </c>
    </row>
    <row r="47" spans="1:34" ht="6" hidden="1" customHeight="1" x14ac:dyDescent="0.2">
      <c r="A47" s="54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3"/>
      <c r="Q47" s="74"/>
      <c r="R47" s="75"/>
      <c r="S47" s="76"/>
      <c r="T47" s="71"/>
      <c r="U47" s="72"/>
      <c r="V47" s="72"/>
      <c r="W47" s="73"/>
      <c r="X47" s="44"/>
      <c r="Y47" s="21"/>
      <c r="Z47" s="8"/>
      <c r="AA47" s="9"/>
      <c r="AB47" s="10"/>
      <c r="AC47" s="32"/>
      <c r="AD47" s="10"/>
    </row>
    <row r="48" spans="1:34" ht="22.9" customHeight="1" x14ac:dyDescent="0.2">
      <c r="A48" s="55">
        <v>1</v>
      </c>
      <c r="B48" s="80" t="s">
        <v>526</v>
      </c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2"/>
      <c r="Q48" s="77"/>
      <c r="R48" s="78"/>
      <c r="S48" s="79"/>
      <c r="T48" s="77"/>
      <c r="U48" s="78"/>
      <c r="V48" s="78"/>
      <c r="W48" s="79"/>
      <c r="X48" s="44"/>
      <c r="Y48" s="65"/>
      <c r="Z48" s="8"/>
      <c r="AA48" s="9"/>
      <c r="AB48" s="10"/>
      <c r="AC48" s="32"/>
      <c r="AD48" s="10"/>
    </row>
    <row r="49" spans="1:37" ht="18" customHeight="1" thickBot="1" x14ac:dyDescent="0.25">
      <c r="A49" s="55"/>
      <c r="B49" s="80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77"/>
      <c r="R49" s="78"/>
      <c r="S49" s="79"/>
      <c r="T49" s="77"/>
      <c r="U49" s="78"/>
      <c r="V49" s="78"/>
      <c r="W49" s="79"/>
      <c r="X49" s="12"/>
      <c r="Y49" s="56"/>
      <c r="Z49" s="8"/>
      <c r="AA49" s="9"/>
      <c r="AB49" s="10"/>
      <c r="AC49" s="32"/>
      <c r="AD49" s="10" t="s">
        <v>257</v>
      </c>
    </row>
    <row r="50" spans="1:37" s="5" customFormat="1" ht="11.25" hidden="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2"/>
      <c r="Z50" s="3"/>
      <c r="AA50" s="3"/>
      <c r="AB50" s="2"/>
      <c r="AC50" s="4"/>
      <c r="AD50" s="10"/>
      <c r="AI50" s="1"/>
      <c r="AJ50" s="1"/>
      <c r="AK50" s="1"/>
    </row>
    <row r="51" spans="1:37" s="5" customFormat="1" ht="2.25" hidden="1" customHeight="1" x14ac:dyDescent="0.2">
      <c r="A51" s="55">
        <v>2</v>
      </c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3"/>
      <c r="Q51" s="57"/>
      <c r="R51" s="58"/>
      <c r="S51" s="59"/>
      <c r="T51" s="74"/>
      <c r="U51" s="75"/>
      <c r="V51" s="75"/>
      <c r="W51" s="76"/>
      <c r="X51" s="12"/>
      <c r="Y51" s="2"/>
      <c r="Z51" s="3"/>
      <c r="AA51" s="3"/>
      <c r="AB51" s="2"/>
      <c r="AC51" s="4"/>
      <c r="AD51" s="10"/>
      <c r="AI51" s="1"/>
      <c r="AJ51" s="1"/>
      <c r="AK51" s="1"/>
    </row>
    <row r="52" spans="1:37" s="5" customFormat="1" ht="14.25" hidden="1" customHeight="1" x14ac:dyDescent="0.2">
      <c r="A52" s="55">
        <v>3</v>
      </c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3"/>
      <c r="Q52" s="57"/>
      <c r="R52" s="58"/>
      <c r="S52" s="59"/>
      <c r="T52" s="74"/>
      <c r="U52" s="75"/>
      <c r="V52" s="75"/>
      <c r="W52" s="76"/>
      <c r="X52" s="12"/>
      <c r="Y52" s="2"/>
      <c r="Z52" s="3"/>
      <c r="AA52" s="3"/>
      <c r="AB52" s="2"/>
      <c r="AC52" s="4"/>
      <c r="AD52" s="10"/>
      <c r="AI52" s="1"/>
      <c r="AJ52" s="1"/>
      <c r="AK52" s="1"/>
    </row>
    <row r="53" spans="1:37" s="5" customFormat="1" ht="14.25" hidden="1" customHeight="1" x14ac:dyDescent="0.2">
      <c r="A53" s="55">
        <v>4</v>
      </c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3"/>
      <c r="Q53" s="57"/>
      <c r="R53" s="58"/>
      <c r="S53" s="59"/>
      <c r="T53" s="74"/>
      <c r="U53" s="75"/>
      <c r="V53" s="75"/>
      <c r="W53" s="76"/>
      <c r="X53" s="12"/>
      <c r="Y53" s="2"/>
      <c r="Z53" s="3"/>
      <c r="AA53" s="3"/>
      <c r="AB53" s="2"/>
      <c r="AC53" s="4"/>
      <c r="AD53" s="10"/>
      <c r="AI53" s="1"/>
      <c r="AJ53" s="1"/>
      <c r="AK53" s="1"/>
    </row>
    <row r="54" spans="1:37" s="5" customFormat="1" ht="22.5" customHeight="1" x14ac:dyDescent="0.2">
      <c r="A54" s="66" t="s">
        <v>258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1"/>
      <c r="Y54" s="2"/>
      <c r="Z54" s="3"/>
      <c r="AA54" s="3"/>
      <c r="AB54" s="2"/>
      <c r="AC54" s="4"/>
      <c r="AD54" s="10" t="s">
        <v>259</v>
      </c>
      <c r="AI54" s="1"/>
      <c r="AJ54" s="1"/>
      <c r="AK54" s="1"/>
    </row>
    <row r="55" spans="1:37" s="5" customFormat="1" ht="11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2"/>
      <c r="Z55" s="3"/>
      <c r="AA55" s="3"/>
      <c r="AB55" s="2"/>
      <c r="AC55" s="4"/>
      <c r="AD55" s="2" t="s">
        <v>260</v>
      </c>
      <c r="AI55" s="1"/>
      <c r="AJ55" s="1"/>
      <c r="AK55" s="1"/>
    </row>
    <row r="56" spans="1:37" s="5" customFormat="1" ht="11.25" customHeight="1" x14ac:dyDescent="0.2">
      <c r="A56" s="60" t="s">
        <v>261</v>
      </c>
      <c r="B56" s="60"/>
      <c r="C56" s="60"/>
      <c r="D56" s="48"/>
      <c r="E56" s="48"/>
      <c r="F56" s="48"/>
      <c r="G56" s="48"/>
      <c r="H56" s="48"/>
      <c r="I56" s="1"/>
      <c r="J56" s="67"/>
      <c r="K56" s="67"/>
      <c r="L56" s="67"/>
      <c r="M56" s="67"/>
      <c r="N56" s="67"/>
      <c r="O56" s="67"/>
      <c r="P56" s="67"/>
      <c r="Q56" s="67"/>
      <c r="R56" s="64"/>
      <c r="S56" s="69" t="s">
        <v>516</v>
      </c>
      <c r="T56" s="69"/>
      <c r="U56" s="69"/>
      <c r="V56" s="69"/>
      <c r="W56" s="69"/>
      <c r="X56" s="69"/>
      <c r="Y56" s="69"/>
      <c r="Z56" s="69"/>
      <c r="AA56" s="3"/>
      <c r="AB56" s="2"/>
      <c r="AC56" s="4"/>
      <c r="AD56" s="2" t="s">
        <v>262</v>
      </c>
      <c r="AI56" s="1"/>
      <c r="AJ56" s="1"/>
      <c r="AK56" s="1"/>
    </row>
    <row r="57" spans="1:37" s="5" customFormat="1" ht="11.25" customHeight="1" x14ac:dyDescent="0.2">
      <c r="A57" s="1"/>
      <c r="B57" s="1"/>
      <c r="C57" s="1"/>
      <c r="D57" s="38" t="s">
        <v>263</v>
      </c>
      <c r="E57" s="38"/>
      <c r="F57" s="38"/>
      <c r="G57" s="38"/>
      <c r="H57" s="38"/>
      <c r="I57" s="1"/>
      <c r="K57" s="38"/>
      <c r="L57" s="38"/>
      <c r="M57" s="38"/>
      <c r="N57" s="38"/>
      <c r="O57" s="38"/>
      <c r="P57" s="38"/>
      <c r="Q57" s="38"/>
      <c r="R57" s="1"/>
      <c r="S57" s="1"/>
      <c r="T57" s="1"/>
      <c r="U57" s="38" t="s">
        <v>264</v>
      </c>
      <c r="V57" s="1"/>
      <c r="W57" s="1"/>
      <c r="X57" s="1"/>
      <c r="Y57" s="2"/>
      <c r="Z57" s="3"/>
      <c r="AA57" s="3"/>
      <c r="AB57" s="2"/>
      <c r="AC57" s="4"/>
      <c r="AD57" s="2" t="s">
        <v>265</v>
      </c>
      <c r="AI57" s="1"/>
      <c r="AJ57" s="1"/>
      <c r="AK57" s="1"/>
    </row>
    <row r="58" spans="1:37" s="5" customFormat="1" ht="11.25" customHeight="1" x14ac:dyDescent="0.2">
      <c r="A58" s="61" t="s">
        <v>266</v>
      </c>
      <c r="B58" s="61"/>
      <c r="C58" s="6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2"/>
      <c r="Z58" s="3"/>
      <c r="AA58" s="3"/>
      <c r="AB58" s="2"/>
      <c r="AC58" s="4"/>
      <c r="AD58" s="2" t="s">
        <v>267</v>
      </c>
      <c r="AI58" s="1"/>
      <c r="AJ58" s="1"/>
      <c r="AK58" s="1"/>
    </row>
    <row r="59" spans="1:37" s="5" customFormat="1" ht="11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2"/>
      <c r="Z59" s="3"/>
      <c r="AA59" s="3"/>
      <c r="AB59" s="2"/>
      <c r="AC59" s="4"/>
      <c r="AD59" s="2" t="s">
        <v>268</v>
      </c>
      <c r="AI59" s="1"/>
      <c r="AJ59" s="1"/>
      <c r="AK59" s="1"/>
    </row>
    <row r="60" spans="1:37" s="5" customFormat="1" ht="11.25" customHeight="1" x14ac:dyDescent="0.2">
      <c r="A60" s="60" t="s">
        <v>269</v>
      </c>
      <c r="B60" s="60"/>
      <c r="C60" s="60"/>
      <c r="D60" s="68"/>
      <c r="E60" s="68"/>
      <c r="F60" s="68"/>
      <c r="G60" s="68"/>
      <c r="H60" s="68"/>
      <c r="I60" s="1"/>
      <c r="J60" s="69"/>
      <c r="K60" s="69"/>
      <c r="L60" s="69"/>
      <c r="M60" s="69"/>
      <c r="N60" s="69"/>
      <c r="O60" s="69"/>
      <c r="P60" s="69"/>
      <c r="Q60" s="69"/>
      <c r="R60" s="69" t="s">
        <v>516</v>
      </c>
      <c r="S60" s="69"/>
      <c r="T60" s="69"/>
      <c r="U60" s="69"/>
      <c r="V60" s="69"/>
      <c r="W60" s="69"/>
      <c r="X60" s="69"/>
      <c r="Y60" s="69"/>
      <c r="Z60" s="3"/>
      <c r="AA60" s="3"/>
      <c r="AB60" s="2"/>
      <c r="AC60" s="4"/>
      <c r="AD60" s="2" t="s">
        <v>270</v>
      </c>
      <c r="AI60" s="1"/>
      <c r="AJ60" s="1"/>
      <c r="AK60" s="1"/>
    </row>
    <row r="61" spans="1:37" s="5" customFormat="1" ht="11.25" customHeight="1" x14ac:dyDescent="0.2">
      <c r="A61" s="1"/>
      <c r="B61" s="1"/>
      <c r="C61" s="1"/>
      <c r="D61" s="70" t="s">
        <v>263</v>
      </c>
      <c r="E61" s="70"/>
      <c r="F61" s="70"/>
      <c r="G61" s="70"/>
      <c r="H61" s="70"/>
      <c r="I61" s="1"/>
      <c r="J61" s="43"/>
      <c r="K61" s="43"/>
      <c r="M61" s="63"/>
      <c r="N61" s="63"/>
      <c r="O61" s="63"/>
      <c r="P61" s="43"/>
      <c r="Q61" s="43"/>
      <c r="R61" s="1"/>
      <c r="S61" s="1"/>
      <c r="T61" s="62" t="s">
        <v>264</v>
      </c>
      <c r="U61" s="1"/>
      <c r="V61" s="1"/>
      <c r="W61" s="1"/>
      <c r="X61" s="1"/>
      <c r="Y61" s="2"/>
      <c r="Z61" s="3"/>
      <c r="AA61" s="3"/>
      <c r="AB61" s="2"/>
      <c r="AC61" s="4"/>
      <c r="AD61" s="2" t="s">
        <v>271</v>
      </c>
      <c r="AI61" s="1"/>
      <c r="AJ61" s="1"/>
      <c r="AK61" s="1"/>
    </row>
    <row r="62" spans="1:37" s="5" customFormat="1" ht="11.2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2"/>
      <c r="Z62" s="3"/>
      <c r="AA62" s="3"/>
      <c r="AB62" s="2"/>
      <c r="AC62" s="4"/>
      <c r="AD62" s="2" t="s">
        <v>272</v>
      </c>
      <c r="AI62" s="1"/>
      <c r="AJ62" s="1"/>
      <c r="AK62" s="1"/>
    </row>
    <row r="63" spans="1:37" s="5" customFormat="1" ht="11.2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2"/>
      <c r="Z63" s="3"/>
      <c r="AA63" s="3"/>
      <c r="AB63" s="2"/>
      <c r="AC63" s="4"/>
      <c r="AD63" s="2" t="s">
        <v>273</v>
      </c>
      <c r="AI63" s="1"/>
      <c r="AJ63" s="1"/>
      <c r="AK63" s="1"/>
    </row>
    <row r="64" spans="1:37" s="5" customFormat="1" ht="11.2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/>
      <c r="Z64" s="3"/>
      <c r="AA64" s="3"/>
      <c r="AB64" s="2"/>
      <c r="AC64" s="4"/>
      <c r="AD64" s="2" t="s">
        <v>274</v>
      </c>
      <c r="AI64" s="1"/>
      <c r="AJ64" s="1"/>
      <c r="AK64" s="1"/>
    </row>
    <row r="65" spans="1:37" s="5" customFormat="1" ht="11.2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2"/>
      <c r="Z65" s="3"/>
      <c r="AA65" s="3"/>
      <c r="AB65" s="2"/>
      <c r="AC65" s="4"/>
      <c r="AD65" s="2" t="s">
        <v>275</v>
      </c>
      <c r="AI65" s="1"/>
      <c r="AJ65" s="1"/>
      <c r="AK65" s="1"/>
    </row>
    <row r="66" spans="1:37" s="5" customFormat="1" ht="11.2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2"/>
      <c r="Z66" s="3"/>
      <c r="AA66" s="3"/>
      <c r="AB66" s="2"/>
      <c r="AC66" s="4"/>
      <c r="AD66" s="2" t="s">
        <v>276</v>
      </c>
      <c r="AI66" s="1"/>
      <c r="AJ66" s="1"/>
      <c r="AK66" s="1"/>
    </row>
    <row r="67" spans="1:37" s="5" customFormat="1" ht="11.2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2"/>
      <c r="Z67" s="3"/>
      <c r="AA67" s="3"/>
      <c r="AB67" s="2"/>
      <c r="AC67" s="4"/>
      <c r="AD67" s="2" t="s">
        <v>277</v>
      </c>
      <c r="AI67" s="1"/>
      <c r="AJ67" s="1"/>
      <c r="AK67" s="1"/>
    </row>
    <row r="68" spans="1:37" s="5" customFormat="1" ht="11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2"/>
      <c r="Z68" s="3"/>
      <c r="AA68" s="3"/>
      <c r="AB68" s="2"/>
      <c r="AC68" s="4"/>
      <c r="AD68" s="2" t="s">
        <v>278</v>
      </c>
      <c r="AI68" s="1"/>
      <c r="AJ68" s="1"/>
      <c r="AK68" s="1"/>
    </row>
    <row r="69" spans="1:37" s="5" customFormat="1" ht="11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2"/>
      <c r="Z69" s="3"/>
      <c r="AA69" s="3"/>
      <c r="AB69" s="2"/>
      <c r="AC69" s="4"/>
      <c r="AD69" s="2" t="s">
        <v>279</v>
      </c>
      <c r="AI69" s="1"/>
      <c r="AJ69" s="1"/>
      <c r="AK69" s="1"/>
    </row>
    <row r="70" spans="1:37" s="5" customFormat="1" ht="11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2"/>
      <c r="Z70" s="3"/>
      <c r="AA70" s="3"/>
      <c r="AB70" s="2"/>
      <c r="AC70" s="4"/>
      <c r="AD70" s="2" t="s">
        <v>280</v>
      </c>
      <c r="AI70" s="1"/>
      <c r="AJ70" s="1"/>
      <c r="AK70" s="1"/>
    </row>
    <row r="71" spans="1:37" s="5" customFormat="1" ht="11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2"/>
      <c r="Z71" s="3"/>
      <c r="AA71" s="3"/>
      <c r="AB71" s="2"/>
      <c r="AC71" s="4"/>
      <c r="AD71" s="2" t="s">
        <v>281</v>
      </c>
      <c r="AI71" s="1"/>
      <c r="AJ71" s="1"/>
      <c r="AK71" s="1"/>
    </row>
    <row r="72" spans="1:37" s="5" customFormat="1" ht="11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2"/>
      <c r="Z72" s="3"/>
      <c r="AA72" s="3"/>
      <c r="AB72" s="2"/>
      <c r="AC72" s="4"/>
      <c r="AD72" s="2" t="s">
        <v>282</v>
      </c>
      <c r="AI72" s="1"/>
      <c r="AJ72" s="1"/>
      <c r="AK72" s="1"/>
    </row>
    <row r="73" spans="1:37" s="5" customFormat="1" ht="11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2"/>
      <c r="Z73" s="3"/>
      <c r="AA73" s="3"/>
      <c r="AB73" s="2"/>
      <c r="AC73" s="4"/>
      <c r="AD73" s="2" t="s">
        <v>283</v>
      </c>
      <c r="AI73" s="1"/>
      <c r="AJ73" s="1"/>
      <c r="AK73" s="1"/>
    </row>
    <row r="74" spans="1:37" s="5" customFormat="1" ht="11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2"/>
      <c r="Z74" s="3"/>
      <c r="AA74" s="3"/>
      <c r="AB74" s="2"/>
      <c r="AC74" s="4"/>
      <c r="AD74" s="2" t="s">
        <v>284</v>
      </c>
      <c r="AI74" s="1"/>
      <c r="AJ74" s="1"/>
      <c r="AK74" s="1"/>
    </row>
    <row r="75" spans="1:37" s="5" customFormat="1" ht="11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2"/>
      <c r="Z75" s="3"/>
      <c r="AA75" s="3"/>
      <c r="AB75" s="2"/>
      <c r="AC75" s="4"/>
      <c r="AD75" s="2" t="s">
        <v>285</v>
      </c>
      <c r="AI75" s="1"/>
      <c r="AJ75" s="1"/>
      <c r="AK75" s="1"/>
    </row>
    <row r="76" spans="1:37" s="5" customFormat="1" ht="11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2"/>
      <c r="Z76" s="3"/>
      <c r="AA76" s="3"/>
      <c r="AB76" s="2"/>
      <c r="AC76" s="4"/>
      <c r="AD76" s="2" t="s">
        <v>286</v>
      </c>
      <c r="AI76" s="1"/>
      <c r="AJ76" s="1"/>
      <c r="AK76" s="1"/>
    </row>
    <row r="77" spans="1:37" s="5" customFormat="1" ht="11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2"/>
      <c r="Z77" s="3"/>
      <c r="AA77" s="3"/>
      <c r="AB77" s="2"/>
      <c r="AC77" s="4"/>
      <c r="AD77" s="2" t="s">
        <v>287</v>
      </c>
      <c r="AI77" s="1"/>
      <c r="AJ77" s="1"/>
      <c r="AK77" s="1"/>
    </row>
    <row r="78" spans="1:37" s="5" customFormat="1" ht="11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3"/>
      <c r="AA78" s="3"/>
      <c r="AB78" s="2"/>
      <c r="AC78" s="4"/>
      <c r="AD78" s="2" t="s">
        <v>288</v>
      </c>
      <c r="AI78" s="1"/>
      <c r="AJ78" s="1"/>
      <c r="AK78" s="1"/>
    </row>
    <row r="79" spans="1:37" s="5" customFormat="1" ht="11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3"/>
      <c r="AA79" s="3"/>
      <c r="AB79" s="2"/>
      <c r="AC79" s="4"/>
      <c r="AD79" s="2" t="s">
        <v>289</v>
      </c>
      <c r="AI79" s="1"/>
      <c r="AJ79" s="1"/>
      <c r="AK79" s="1"/>
    </row>
    <row r="80" spans="1:37" s="5" customFormat="1" ht="11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3"/>
      <c r="AA80" s="3"/>
      <c r="AB80" s="2"/>
      <c r="AC80" s="4"/>
      <c r="AD80" s="2" t="s">
        <v>290</v>
      </c>
      <c r="AI80" s="1"/>
      <c r="AJ80" s="1"/>
      <c r="AK80" s="1"/>
    </row>
    <row r="81" spans="1:37" s="5" customFormat="1" ht="11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2"/>
      <c r="Z81" s="3"/>
      <c r="AA81" s="3"/>
      <c r="AB81" s="2"/>
      <c r="AC81" s="4"/>
      <c r="AD81" s="2" t="s">
        <v>291</v>
      </c>
      <c r="AI81" s="1"/>
      <c r="AJ81" s="1"/>
      <c r="AK81" s="1"/>
    </row>
    <row r="82" spans="1:37" s="5" customFormat="1" ht="11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2"/>
      <c r="Z82" s="3"/>
      <c r="AA82" s="3"/>
      <c r="AB82" s="2"/>
      <c r="AC82" s="4"/>
      <c r="AD82" s="2" t="s">
        <v>292</v>
      </c>
      <c r="AI82" s="1"/>
      <c r="AJ82" s="1"/>
      <c r="AK82" s="1"/>
    </row>
    <row r="83" spans="1:37" s="5" customFormat="1" ht="11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2"/>
      <c r="Z83" s="3"/>
      <c r="AA83" s="3"/>
      <c r="AB83" s="2"/>
      <c r="AC83" s="4"/>
      <c r="AD83" s="2" t="s">
        <v>293</v>
      </c>
      <c r="AI83" s="1"/>
      <c r="AJ83" s="1"/>
      <c r="AK83" s="1"/>
    </row>
    <row r="84" spans="1:37" s="5" customFormat="1" ht="11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2"/>
      <c r="Z84" s="3"/>
      <c r="AA84" s="3"/>
      <c r="AB84" s="2"/>
      <c r="AC84" s="4"/>
      <c r="AD84" s="2" t="s">
        <v>294</v>
      </c>
      <c r="AI84" s="1"/>
      <c r="AJ84" s="1"/>
      <c r="AK84" s="1"/>
    </row>
    <row r="85" spans="1:37" s="5" customFormat="1" ht="11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2"/>
      <c r="Z85" s="3"/>
      <c r="AA85" s="3"/>
      <c r="AB85" s="2"/>
      <c r="AC85" s="4"/>
      <c r="AD85" s="2" t="s">
        <v>295</v>
      </c>
      <c r="AI85" s="1"/>
      <c r="AJ85" s="1"/>
      <c r="AK85" s="1"/>
    </row>
    <row r="86" spans="1:37" s="5" customFormat="1" ht="11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3"/>
      <c r="AA86" s="3"/>
      <c r="AB86" s="2"/>
      <c r="AC86" s="4"/>
      <c r="AD86" s="2" t="s">
        <v>296</v>
      </c>
      <c r="AI86" s="1"/>
      <c r="AJ86" s="1"/>
      <c r="AK86" s="1"/>
    </row>
    <row r="87" spans="1:37" s="5" customFormat="1" ht="11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3"/>
      <c r="AA87" s="3"/>
      <c r="AB87" s="2"/>
      <c r="AC87" s="4"/>
      <c r="AD87" s="2" t="s">
        <v>297</v>
      </c>
      <c r="AI87" s="1"/>
      <c r="AJ87" s="1"/>
      <c r="AK87" s="1"/>
    </row>
    <row r="88" spans="1:37" s="5" customFormat="1" ht="11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3"/>
      <c r="AA88" s="3"/>
      <c r="AB88" s="2"/>
      <c r="AC88" s="4"/>
      <c r="AD88" s="2" t="s">
        <v>298</v>
      </c>
      <c r="AI88" s="1"/>
      <c r="AJ88" s="1"/>
      <c r="AK88" s="1"/>
    </row>
    <row r="89" spans="1:37" s="5" customFormat="1" ht="11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3"/>
      <c r="AA89" s="3"/>
      <c r="AB89" s="2"/>
      <c r="AC89" s="4"/>
      <c r="AD89" s="2" t="s">
        <v>299</v>
      </c>
      <c r="AI89" s="1"/>
      <c r="AJ89" s="1"/>
      <c r="AK89" s="1"/>
    </row>
    <row r="90" spans="1:37" s="5" customFormat="1" ht="11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3"/>
      <c r="AA90" s="3"/>
      <c r="AB90" s="2"/>
      <c r="AC90" s="4"/>
      <c r="AD90" s="2" t="s">
        <v>300</v>
      </c>
      <c r="AI90" s="1"/>
      <c r="AJ90" s="1"/>
      <c r="AK90" s="1"/>
    </row>
    <row r="91" spans="1:37" s="5" customFormat="1" ht="11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3"/>
      <c r="AA91" s="3"/>
      <c r="AB91" s="2"/>
      <c r="AC91" s="4"/>
      <c r="AD91" s="2" t="s">
        <v>301</v>
      </c>
      <c r="AI91" s="1"/>
      <c r="AJ91" s="1"/>
      <c r="AK91" s="1"/>
    </row>
    <row r="92" spans="1:37" s="5" customFormat="1" ht="11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3"/>
      <c r="AA92" s="3"/>
      <c r="AB92" s="2"/>
      <c r="AC92" s="4"/>
      <c r="AD92" s="2" t="s">
        <v>302</v>
      </c>
      <c r="AI92" s="1"/>
      <c r="AJ92" s="1"/>
      <c r="AK92" s="1"/>
    </row>
    <row r="93" spans="1:37" s="5" customFormat="1" ht="11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3"/>
      <c r="AA93" s="3"/>
      <c r="AB93" s="2"/>
      <c r="AC93" s="4"/>
      <c r="AD93" s="2" t="s">
        <v>303</v>
      </c>
      <c r="AI93" s="1"/>
      <c r="AJ93" s="1"/>
      <c r="AK93" s="1"/>
    </row>
    <row r="94" spans="1:37" s="5" customFormat="1" ht="11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3"/>
      <c r="AA94" s="3"/>
      <c r="AB94" s="2"/>
      <c r="AC94" s="4"/>
      <c r="AD94" s="2" t="s">
        <v>304</v>
      </c>
      <c r="AI94" s="1"/>
      <c r="AJ94" s="1"/>
      <c r="AK94" s="1"/>
    </row>
    <row r="95" spans="1:37" s="5" customFormat="1" ht="11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3"/>
      <c r="AA95" s="3"/>
      <c r="AB95" s="2"/>
      <c r="AC95" s="4"/>
      <c r="AD95" s="2" t="s">
        <v>305</v>
      </c>
      <c r="AI95" s="1"/>
      <c r="AJ95" s="1"/>
      <c r="AK95" s="1"/>
    </row>
    <row r="96" spans="1:37" s="5" customFormat="1" ht="11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3"/>
      <c r="AA96" s="3"/>
      <c r="AB96" s="2"/>
      <c r="AC96" s="4"/>
      <c r="AD96" s="2" t="s">
        <v>306</v>
      </c>
      <c r="AI96" s="1"/>
      <c r="AJ96" s="1"/>
      <c r="AK96" s="1"/>
    </row>
    <row r="97" spans="1:37" s="5" customFormat="1" ht="11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3"/>
      <c r="AA97" s="3"/>
      <c r="AB97" s="2"/>
      <c r="AC97" s="4"/>
      <c r="AD97" s="2" t="s">
        <v>307</v>
      </c>
      <c r="AI97" s="1"/>
      <c r="AJ97" s="1"/>
      <c r="AK97" s="1"/>
    </row>
    <row r="98" spans="1:37" s="5" customFormat="1" ht="11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3"/>
      <c r="AA98" s="3"/>
      <c r="AB98" s="2"/>
      <c r="AC98" s="4"/>
      <c r="AD98" s="2" t="s">
        <v>308</v>
      </c>
      <c r="AI98" s="1"/>
      <c r="AJ98" s="1"/>
      <c r="AK98" s="1"/>
    </row>
    <row r="99" spans="1:37" s="5" customFormat="1" ht="11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3"/>
      <c r="AA99" s="3"/>
      <c r="AB99" s="2"/>
      <c r="AC99" s="4"/>
      <c r="AD99" s="2" t="s">
        <v>309</v>
      </c>
      <c r="AI99" s="1"/>
      <c r="AJ99" s="1"/>
      <c r="AK99" s="1"/>
    </row>
    <row r="100" spans="1:37" s="5" customFormat="1" ht="11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3"/>
      <c r="AA100" s="3"/>
      <c r="AB100" s="2"/>
      <c r="AC100" s="4"/>
      <c r="AD100" s="2" t="s">
        <v>310</v>
      </c>
      <c r="AI100" s="1"/>
      <c r="AJ100" s="1"/>
      <c r="AK100" s="1"/>
    </row>
    <row r="101" spans="1:37" s="5" customFormat="1" ht="11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3"/>
      <c r="AA101" s="3"/>
      <c r="AB101" s="2"/>
      <c r="AC101" s="4"/>
      <c r="AD101" s="2" t="s">
        <v>311</v>
      </c>
      <c r="AI101" s="1"/>
      <c r="AJ101" s="1"/>
      <c r="AK101" s="1"/>
    </row>
    <row r="102" spans="1:37" s="5" customFormat="1" ht="11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3"/>
      <c r="AA102" s="3"/>
      <c r="AB102" s="2"/>
      <c r="AC102" s="4"/>
      <c r="AD102" s="2" t="s">
        <v>312</v>
      </c>
      <c r="AI102" s="1"/>
      <c r="AJ102" s="1"/>
      <c r="AK102" s="1"/>
    </row>
    <row r="103" spans="1:37" s="5" customFormat="1" ht="11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3"/>
      <c r="AA103" s="3"/>
      <c r="AB103" s="2"/>
      <c r="AC103" s="4"/>
      <c r="AD103" s="2" t="s">
        <v>313</v>
      </c>
      <c r="AI103" s="1"/>
      <c r="AJ103" s="1"/>
      <c r="AK103" s="1"/>
    </row>
    <row r="104" spans="1:37" s="5" customFormat="1" ht="11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3"/>
      <c r="AA104" s="3"/>
      <c r="AB104" s="2"/>
      <c r="AC104" s="4"/>
      <c r="AD104" s="2" t="s">
        <v>314</v>
      </c>
      <c r="AI104" s="1"/>
      <c r="AJ104" s="1"/>
      <c r="AK104" s="1"/>
    </row>
    <row r="105" spans="1:37" s="5" customFormat="1" ht="11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3"/>
      <c r="AA105" s="3"/>
      <c r="AB105" s="2"/>
      <c r="AC105" s="4"/>
      <c r="AD105" s="2" t="s">
        <v>315</v>
      </c>
      <c r="AI105" s="1"/>
      <c r="AJ105" s="1"/>
      <c r="AK105" s="1"/>
    </row>
    <row r="106" spans="1:37" s="5" customFormat="1" ht="11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3"/>
      <c r="AA106" s="3"/>
      <c r="AB106" s="2"/>
      <c r="AC106" s="4"/>
      <c r="AD106" s="2" t="s">
        <v>316</v>
      </c>
      <c r="AI106" s="1"/>
      <c r="AJ106" s="1"/>
      <c r="AK106" s="1"/>
    </row>
    <row r="107" spans="1:37" s="5" customFormat="1" ht="11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3"/>
      <c r="AA107" s="3"/>
      <c r="AB107" s="2"/>
      <c r="AC107" s="4"/>
      <c r="AD107" s="2" t="s">
        <v>317</v>
      </c>
      <c r="AI107" s="1"/>
      <c r="AJ107" s="1"/>
      <c r="AK107" s="1"/>
    </row>
    <row r="108" spans="1:37" s="5" customFormat="1" ht="11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3"/>
      <c r="AA108" s="3"/>
      <c r="AB108" s="2"/>
      <c r="AC108" s="4"/>
      <c r="AD108" s="2" t="s">
        <v>318</v>
      </c>
      <c r="AI108" s="1"/>
      <c r="AJ108" s="1"/>
      <c r="AK108" s="1"/>
    </row>
    <row r="109" spans="1:37" s="5" customFormat="1" ht="11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3"/>
      <c r="AA109" s="3"/>
      <c r="AB109" s="2"/>
      <c r="AC109" s="4"/>
      <c r="AD109" s="2" t="s">
        <v>319</v>
      </c>
      <c r="AI109" s="1"/>
      <c r="AJ109" s="1"/>
      <c r="AK109" s="1"/>
    </row>
    <row r="110" spans="1:37" s="5" customFormat="1" ht="11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3"/>
      <c r="AA110" s="3"/>
      <c r="AB110" s="2"/>
      <c r="AC110" s="4"/>
      <c r="AD110" s="2" t="s">
        <v>320</v>
      </c>
      <c r="AI110" s="1"/>
      <c r="AJ110" s="1"/>
      <c r="AK110" s="1"/>
    </row>
    <row r="111" spans="1:37" s="5" customFormat="1" ht="11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3"/>
      <c r="AA111" s="3"/>
      <c r="AB111" s="2"/>
      <c r="AC111" s="4"/>
      <c r="AD111" s="2" t="s">
        <v>321</v>
      </c>
      <c r="AI111" s="1"/>
      <c r="AJ111" s="1"/>
      <c r="AK111" s="1"/>
    </row>
    <row r="112" spans="1:37" s="5" customFormat="1" ht="11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3"/>
      <c r="AA112" s="3"/>
      <c r="AB112" s="2"/>
      <c r="AC112" s="4"/>
      <c r="AD112" s="2" t="s">
        <v>322</v>
      </c>
      <c r="AI112" s="1"/>
      <c r="AJ112" s="1"/>
      <c r="AK112" s="1"/>
    </row>
    <row r="113" spans="1:37" s="5" customFormat="1" ht="11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3"/>
      <c r="AA113" s="3"/>
      <c r="AB113" s="2"/>
      <c r="AC113" s="4"/>
      <c r="AD113" s="2" t="s">
        <v>323</v>
      </c>
      <c r="AI113" s="1"/>
      <c r="AJ113" s="1"/>
      <c r="AK113" s="1"/>
    </row>
    <row r="114" spans="1:37" s="5" customFormat="1" ht="11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3"/>
      <c r="AA114" s="3"/>
      <c r="AB114" s="2"/>
      <c r="AC114" s="4"/>
      <c r="AD114" s="2" t="s">
        <v>324</v>
      </c>
      <c r="AI114" s="1"/>
      <c r="AJ114" s="1"/>
      <c r="AK114" s="1"/>
    </row>
    <row r="115" spans="1:37" s="5" customFormat="1" ht="11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3"/>
      <c r="AA115" s="3"/>
      <c r="AB115" s="2"/>
      <c r="AC115" s="4"/>
      <c r="AD115" s="2" t="s">
        <v>325</v>
      </c>
      <c r="AI115" s="1"/>
      <c r="AJ115" s="1"/>
      <c r="AK115" s="1"/>
    </row>
    <row r="116" spans="1:37" s="5" customFormat="1" ht="11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3"/>
      <c r="AA116" s="3"/>
      <c r="AB116" s="2"/>
      <c r="AC116" s="4"/>
      <c r="AD116" s="2" t="s">
        <v>326</v>
      </c>
      <c r="AI116" s="1"/>
      <c r="AJ116" s="1"/>
      <c r="AK116" s="1"/>
    </row>
    <row r="117" spans="1:37" s="5" customFormat="1" ht="11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3"/>
      <c r="AA117" s="3"/>
      <c r="AB117" s="2"/>
      <c r="AC117" s="4"/>
      <c r="AD117" s="2" t="s">
        <v>327</v>
      </c>
      <c r="AI117" s="1"/>
      <c r="AJ117" s="1"/>
      <c r="AK117" s="1"/>
    </row>
    <row r="118" spans="1:37" s="5" customFormat="1" ht="11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3"/>
      <c r="AA118" s="3"/>
      <c r="AB118" s="2"/>
      <c r="AC118" s="4"/>
      <c r="AD118" s="2" t="s">
        <v>328</v>
      </c>
      <c r="AI118" s="1"/>
      <c r="AJ118" s="1"/>
      <c r="AK118" s="1"/>
    </row>
    <row r="119" spans="1:37" s="5" customFormat="1" ht="11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3"/>
      <c r="AA119" s="3"/>
      <c r="AB119" s="2"/>
      <c r="AC119" s="4"/>
      <c r="AD119" s="2" t="s">
        <v>329</v>
      </c>
      <c r="AI119" s="1"/>
      <c r="AJ119" s="1"/>
      <c r="AK119" s="1"/>
    </row>
    <row r="120" spans="1:37" s="5" customFormat="1" ht="11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3"/>
      <c r="AA120" s="3"/>
      <c r="AB120" s="2"/>
      <c r="AC120" s="4"/>
      <c r="AD120" s="2" t="s">
        <v>330</v>
      </c>
      <c r="AI120" s="1"/>
      <c r="AJ120" s="1"/>
      <c r="AK120" s="1"/>
    </row>
    <row r="121" spans="1:37" s="5" customFormat="1" ht="11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3"/>
      <c r="AA121" s="3"/>
      <c r="AB121" s="2"/>
      <c r="AC121" s="4"/>
      <c r="AD121" s="2" t="s">
        <v>331</v>
      </c>
      <c r="AI121" s="1"/>
      <c r="AJ121" s="1"/>
      <c r="AK121" s="1"/>
    </row>
    <row r="122" spans="1:37" s="5" customFormat="1" ht="11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3"/>
      <c r="AA122" s="3"/>
      <c r="AB122" s="2"/>
      <c r="AC122" s="4"/>
      <c r="AD122" s="2" t="s">
        <v>332</v>
      </c>
      <c r="AI122" s="1"/>
      <c r="AJ122" s="1"/>
      <c r="AK122" s="1"/>
    </row>
    <row r="123" spans="1:37" s="5" customFormat="1" ht="11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3"/>
      <c r="AA123" s="3"/>
      <c r="AB123" s="2"/>
      <c r="AC123" s="4"/>
      <c r="AD123" s="2" t="s">
        <v>333</v>
      </c>
      <c r="AI123" s="1"/>
      <c r="AJ123" s="1"/>
      <c r="AK123" s="1"/>
    </row>
    <row r="124" spans="1:37" s="5" customFormat="1" ht="11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3"/>
      <c r="AA124" s="3"/>
      <c r="AB124" s="2"/>
      <c r="AC124" s="4"/>
      <c r="AD124" s="2" t="s">
        <v>334</v>
      </c>
      <c r="AI124" s="1"/>
      <c r="AJ124" s="1"/>
      <c r="AK124" s="1"/>
    </row>
    <row r="125" spans="1:37" s="5" customFormat="1" ht="11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3"/>
      <c r="AA125" s="3"/>
      <c r="AB125" s="2"/>
      <c r="AC125" s="4"/>
      <c r="AD125" s="2" t="s">
        <v>335</v>
      </c>
      <c r="AI125" s="1"/>
      <c r="AJ125" s="1"/>
      <c r="AK125" s="1"/>
    </row>
    <row r="126" spans="1:37" s="5" customFormat="1" ht="11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3"/>
      <c r="AA126" s="3"/>
      <c r="AB126" s="2"/>
      <c r="AC126" s="4"/>
      <c r="AD126" s="2" t="s">
        <v>336</v>
      </c>
      <c r="AI126" s="1"/>
      <c r="AJ126" s="1"/>
      <c r="AK126" s="1"/>
    </row>
    <row r="127" spans="1:37" s="5" customFormat="1" ht="11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3"/>
      <c r="AA127" s="3"/>
      <c r="AB127" s="2"/>
      <c r="AC127" s="4"/>
      <c r="AD127" s="2" t="s">
        <v>337</v>
      </c>
      <c r="AI127" s="1"/>
      <c r="AJ127" s="1"/>
      <c r="AK127" s="1"/>
    </row>
    <row r="128" spans="1:37" s="5" customFormat="1" ht="11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3"/>
      <c r="AA128" s="3"/>
      <c r="AB128" s="2"/>
      <c r="AC128" s="4"/>
      <c r="AD128" s="2" t="s">
        <v>338</v>
      </c>
      <c r="AI128" s="1"/>
      <c r="AJ128" s="1"/>
      <c r="AK128" s="1"/>
    </row>
    <row r="129" spans="1:37" s="5" customFormat="1" ht="11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"/>
      <c r="Z129" s="3"/>
      <c r="AA129" s="3"/>
      <c r="AB129" s="2"/>
      <c r="AC129" s="4"/>
      <c r="AD129" s="2" t="s">
        <v>339</v>
      </c>
      <c r="AI129" s="1"/>
      <c r="AJ129" s="1"/>
      <c r="AK129" s="1"/>
    </row>
    <row r="130" spans="1:37" s="5" customFormat="1" ht="11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2"/>
      <c r="Z130" s="3"/>
      <c r="AA130" s="3"/>
      <c r="AB130" s="2"/>
      <c r="AC130" s="4"/>
      <c r="AD130" s="2" t="s">
        <v>340</v>
      </c>
      <c r="AI130" s="1"/>
      <c r="AJ130" s="1"/>
      <c r="AK130" s="1"/>
    </row>
    <row r="131" spans="1:37" s="5" customFormat="1" ht="11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2"/>
      <c r="Z131" s="3"/>
      <c r="AA131" s="3"/>
      <c r="AB131" s="2"/>
      <c r="AC131" s="4"/>
      <c r="AD131" s="2" t="s">
        <v>341</v>
      </c>
      <c r="AI131" s="1"/>
      <c r="AJ131" s="1"/>
      <c r="AK131" s="1"/>
    </row>
    <row r="132" spans="1:37" s="5" customFormat="1" ht="11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2"/>
      <c r="Z132" s="3"/>
      <c r="AA132" s="3"/>
      <c r="AB132" s="2"/>
      <c r="AC132" s="4"/>
      <c r="AD132" s="2" t="s">
        <v>342</v>
      </c>
      <c r="AI132" s="1"/>
      <c r="AJ132" s="1"/>
      <c r="AK132" s="1"/>
    </row>
    <row r="133" spans="1:37" s="5" customFormat="1" ht="11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2"/>
      <c r="Z133" s="3"/>
      <c r="AA133" s="3"/>
      <c r="AB133" s="2"/>
      <c r="AC133" s="4"/>
      <c r="AD133" s="2" t="s">
        <v>343</v>
      </c>
      <c r="AI133" s="1"/>
      <c r="AJ133" s="1"/>
      <c r="AK133" s="1"/>
    </row>
    <row r="134" spans="1:37" s="5" customFormat="1" ht="11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2"/>
      <c r="Z134" s="3"/>
      <c r="AA134" s="3"/>
      <c r="AB134" s="2"/>
      <c r="AC134" s="4"/>
      <c r="AD134" s="2" t="s">
        <v>344</v>
      </c>
      <c r="AI134" s="1"/>
      <c r="AJ134" s="1"/>
      <c r="AK134" s="1"/>
    </row>
    <row r="135" spans="1:37" s="5" customFormat="1" ht="11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2"/>
      <c r="Z135" s="3"/>
      <c r="AA135" s="3"/>
      <c r="AB135" s="2"/>
      <c r="AC135" s="4"/>
      <c r="AD135" s="2" t="s">
        <v>345</v>
      </c>
      <c r="AI135" s="1"/>
      <c r="AJ135" s="1"/>
      <c r="AK135" s="1"/>
    </row>
    <row r="136" spans="1:37" s="5" customFormat="1" ht="11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2"/>
      <c r="Z136" s="3"/>
      <c r="AA136" s="3"/>
      <c r="AB136" s="2"/>
      <c r="AC136" s="4"/>
      <c r="AD136" s="2" t="s">
        <v>346</v>
      </c>
      <c r="AI136" s="1"/>
      <c r="AJ136" s="1"/>
      <c r="AK136" s="1"/>
    </row>
    <row r="137" spans="1:37" s="5" customFormat="1" ht="11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2"/>
      <c r="Z137" s="3"/>
      <c r="AA137" s="3"/>
      <c r="AB137" s="2"/>
      <c r="AC137" s="4"/>
      <c r="AD137" s="2" t="s">
        <v>347</v>
      </c>
      <c r="AI137" s="1"/>
      <c r="AJ137" s="1"/>
      <c r="AK137" s="1"/>
    </row>
    <row r="138" spans="1:37" s="5" customFormat="1" ht="11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2"/>
      <c r="Z138" s="3"/>
      <c r="AA138" s="3"/>
      <c r="AB138" s="2"/>
      <c r="AC138" s="4"/>
      <c r="AD138" s="2" t="s">
        <v>348</v>
      </c>
      <c r="AI138" s="1"/>
      <c r="AJ138" s="1"/>
      <c r="AK138" s="1"/>
    </row>
    <row r="139" spans="1:37" s="5" customFormat="1" ht="11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2"/>
      <c r="Z139" s="3"/>
      <c r="AA139" s="3"/>
      <c r="AB139" s="2"/>
      <c r="AC139" s="4"/>
      <c r="AD139" s="2" t="s">
        <v>349</v>
      </c>
      <c r="AI139" s="1"/>
      <c r="AJ139" s="1"/>
      <c r="AK139" s="1"/>
    </row>
    <row r="140" spans="1:37" s="5" customFormat="1" ht="11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2"/>
      <c r="Z140" s="3"/>
      <c r="AA140" s="3"/>
      <c r="AB140" s="2"/>
      <c r="AC140" s="4"/>
      <c r="AD140" s="2" t="s">
        <v>350</v>
      </c>
      <c r="AI140" s="1"/>
      <c r="AJ140" s="1"/>
      <c r="AK140" s="1"/>
    </row>
    <row r="141" spans="1:37" s="5" customFormat="1" ht="11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2"/>
      <c r="Z141" s="3"/>
      <c r="AA141" s="3"/>
      <c r="AB141" s="2"/>
      <c r="AC141" s="4"/>
      <c r="AD141" s="2" t="s">
        <v>351</v>
      </c>
      <c r="AI141" s="1"/>
      <c r="AJ141" s="1"/>
      <c r="AK141" s="1"/>
    </row>
    <row r="142" spans="1:37" s="5" customFormat="1" ht="11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2"/>
      <c r="Z142" s="3"/>
      <c r="AA142" s="3"/>
      <c r="AB142" s="2"/>
      <c r="AC142" s="4"/>
      <c r="AD142" s="2" t="s">
        <v>352</v>
      </c>
      <c r="AI142" s="1"/>
      <c r="AJ142" s="1"/>
      <c r="AK142" s="1"/>
    </row>
    <row r="143" spans="1:37" s="5" customFormat="1" ht="11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2"/>
      <c r="Z143" s="3"/>
      <c r="AA143" s="3"/>
      <c r="AB143" s="2"/>
      <c r="AC143" s="4"/>
      <c r="AD143" s="2" t="s">
        <v>353</v>
      </c>
      <c r="AI143" s="1"/>
      <c r="AJ143" s="1"/>
      <c r="AK143" s="1"/>
    </row>
    <row r="144" spans="1:37" s="5" customFormat="1" ht="11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2"/>
      <c r="Z144" s="3"/>
      <c r="AA144" s="3"/>
      <c r="AB144" s="2"/>
      <c r="AC144" s="4"/>
      <c r="AD144" s="2" t="s">
        <v>354</v>
      </c>
      <c r="AI144" s="1"/>
      <c r="AJ144" s="1"/>
      <c r="AK144" s="1"/>
    </row>
    <row r="145" spans="1:37" s="5" customFormat="1" ht="11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2"/>
      <c r="Z145" s="3"/>
      <c r="AA145" s="3"/>
      <c r="AB145" s="2"/>
      <c r="AC145" s="4"/>
      <c r="AD145" s="2" t="s">
        <v>355</v>
      </c>
      <c r="AI145" s="1"/>
      <c r="AJ145" s="1"/>
      <c r="AK145" s="1"/>
    </row>
    <row r="146" spans="1:37" s="5" customFormat="1" ht="11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2"/>
      <c r="Z146" s="3"/>
      <c r="AA146" s="3"/>
      <c r="AB146" s="2"/>
      <c r="AC146" s="4"/>
      <c r="AD146" s="2" t="s">
        <v>356</v>
      </c>
      <c r="AI146" s="1"/>
      <c r="AJ146" s="1"/>
      <c r="AK146" s="1"/>
    </row>
    <row r="147" spans="1:37" s="5" customFormat="1" ht="11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2"/>
      <c r="Z147" s="3"/>
      <c r="AA147" s="3"/>
      <c r="AB147" s="2"/>
      <c r="AC147" s="4"/>
      <c r="AD147" s="2" t="s">
        <v>357</v>
      </c>
      <c r="AI147" s="1"/>
      <c r="AJ147" s="1"/>
      <c r="AK147" s="1"/>
    </row>
    <row r="148" spans="1:37" s="5" customFormat="1" ht="11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2"/>
      <c r="Z148" s="3"/>
      <c r="AA148" s="3"/>
      <c r="AB148" s="2"/>
      <c r="AC148" s="4"/>
      <c r="AD148" s="2" t="s">
        <v>358</v>
      </c>
      <c r="AI148" s="1"/>
      <c r="AJ148" s="1"/>
      <c r="AK148" s="1"/>
    </row>
    <row r="149" spans="1:37" s="5" customFormat="1" ht="11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2"/>
      <c r="Z149" s="3"/>
      <c r="AA149" s="3"/>
      <c r="AB149" s="2"/>
      <c r="AC149" s="4"/>
      <c r="AD149" s="2" t="s">
        <v>359</v>
      </c>
      <c r="AI149" s="1"/>
      <c r="AJ149" s="1"/>
      <c r="AK149" s="1"/>
    </row>
    <row r="150" spans="1:37" s="5" customFormat="1" ht="11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2"/>
      <c r="Z150" s="3"/>
      <c r="AA150" s="3"/>
      <c r="AB150" s="2"/>
      <c r="AC150" s="4"/>
      <c r="AD150" s="2" t="s">
        <v>360</v>
      </c>
      <c r="AI150" s="1"/>
      <c r="AJ150" s="1"/>
      <c r="AK150" s="1"/>
    </row>
    <row r="151" spans="1:37" s="5" customFormat="1" ht="11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2"/>
      <c r="Z151" s="3"/>
      <c r="AA151" s="3"/>
      <c r="AB151" s="2"/>
      <c r="AC151" s="4"/>
      <c r="AD151" s="2" t="s">
        <v>361</v>
      </c>
      <c r="AI151" s="1"/>
      <c r="AJ151" s="1"/>
      <c r="AK151" s="1"/>
    </row>
    <row r="152" spans="1:37" s="5" customFormat="1" ht="11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2"/>
      <c r="Z152" s="3"/>
      <c r="AA152" s="3"/>
      <c r="AB152" s="2"/>
      <c r="AC152" s="4"/>
      <c r="AD152" s="2" t="s">
        <v>362</v>
      </c>
      <c r="AI152" s="1"/>
      <c r="AJ152" s="1"/>
      <c r="AK152" s="1"/>
    </row>
    <row r="153" spans="1:37" s="5" customFormat="1" ht="11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2"/>
      <c r="Z153" s="3"/>
      <c r="AA153" s="3"/>
      <c r="AB153" s="2"/>
      <c r="AC153" s="4"/>
      <c r="AD153" s="2" t="s">
        <v>363</v>
      </c>
      <c r="AI153" s="1"/>
      <c r="AJ153" s="1"/>
      <c r="AK153" s="1"/>
    </row>
    <row r="154" spans="1:37" s="5" customFormat="1" ht="11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2"/>
      <c r="Z154" s="3"/>
      <c r="AA154" s="3"/>
      <c r="AB154" s="2"/>
      <c r="AC154" s="4"/>
      <c r="AD154" s="2" t="s">
        <v>364</v>
      </c>
      <c r="AI154" s="1"/>
      <c r="AJ154" s="1"/>
      <c r="AK154" s="1"/>
    </row>
    <row r="155" spans="1:37" s="5" customFormat="1" ht="11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2"/>
      <c r="Z155" s="3"/>
      <c r="AA155" s="3"/>
      <c r="AB155" s="2"/>
      <c r="AC155" s="4"/>
      <c r="AD155" s="2" t="s">
        <v>365</v>
      </c>
      <c r="AI155" s="1"/>
      <c r="AJ155" s="1"/>
      <c r="AK155" s="1"/>
    </row>
    <row r="156" spans="1:37" s="5" customFormat="1" ht="11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2"/>
      <c r="Z156" s="3"/>
      <c r="AA156" s="3"/>
      <c r="AB156" s="2"/>
      <c r="AC156" s="4"/>
      <c r="AD156" s="2" t="s">
        <v>366</v>
      </c>
      <c r="AI156" s="1"/>
      <c r="AJ156" s="1"/>
      <c r="AK156" s="1"/>
    </row>
    <row r="157" spans="1:37" s="5" customFormat="1" ht="11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2"/>
      <c r="Z157" s="3"/>
      <c r="AA157" s="3"/>
      <c r="AB157" s="2"/>
      <c r="AC157" s="4"/>
      <c r="AD157" s="2" t="s">
        <v>367</v>
      </c>
      <c r="AI157" s="1"/>
      <c r="AJ157" s="1"/>
      <c r="AK157" s="1"/>
    </row>
    <row r="158" spans="1:37" s="5" customFormat="1" ht="11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2"/>
      <c r="Z158" s="3"/>
      <c r="AA158" s="3"/>
      <c r="AB158" s="2"/>
      <c r="AC158" s="4"/>
      <c r="AD158" s="2" t="s">
        <v>368</v>
      </c>
      <c r="AI158" s="1"/>
      <c r="AJ158" s="1"/>
      <c r="AK158" s="1"/>
    </row>
    <row r="159" spans="1:37" s="5" customFormat="1" ht="11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2"/>
      <c r="Z159" s="3"/>
      <c r="AA159" s="3"/>
      <c r="AB159" s="2"/>
      <c r="AC159" s="4"/>
      <c r="AD159" s="2" t="s">
        <v>369</v>
      </c>
      <c r="AI159" s="1"/>
      <c r="AJ159" s="1"/>
      <c r="AK159" s="1"/>
    </row>
    <row r="160" spans="1:37" s="5" customFormat="1" ht="11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2"/>
      <c r="Z160" s="3"/>
      <c r="AA160" s="3"/>
      <c r="AB160" s="2"/>
      <c r="AC160" s="4"/>
      <c r="AD160" s="2" t="s">
        <v>370</v>
      </c>
      <c r="AI160" s="1"/>
      <c r="AJ160" s="1"/>
      <c r="AK160" s="1"/>
    </row>
    <row r="161" spans="1:37" s="5" customFormat="1" ht="11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2"/>
      <c r="Z161" s="3"/>
      <c r="AA161" s="3"/>
      <c r="AB161" s="2"/>
      <c r="AC161" s="4"/>
      <c r="AD161" s="2" t="s">
        <v>371</v>
      </c>
      <c r="AI161" s="1"/>
      <c r="AJ161" s="1"/>
      <c r="AK161" s="1"/>
    </row>
    <row r="162" spans="1:37" s="5" customFormat="1" ht="11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2"/>
      <c r="Z162" s="3"/>
      <c r="AA162" s="3"/>
      <c r="AB162" s="2"/>
      <c r="AC162" s="4"/>
      <c r="AD162" s="2" t="s">
        <v>372</v>
      </c>
      <c r="AI162" s="1"/>
      <c r="AJ162" s="1"/>
      <c r="AK162" s="1"/>
    </row>
    <row r="163" spans="1:37" s="5" customFormat="1" ht="11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2"/>
      <c r="Z163" s="3"/>
      <c r="AA163" s="3"/>
      <c r="AB163" s="2"/>
      <c r="AC163" s="4"/>
      <c r="AD163" s="2" t="s">
        <v>373</v>
      </c>
      <c r="AI163" s="1"/>
      <c r="AJ163" s="1"/>
      <c r="AK163" s="1"/>
    </row>
    <row r="164" spans="1:37" s="5" customFormat="1" ht="11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2"/>
      <c r="Z164" s="3"/>
      <c r="AA164" s="3"/>
      <c r="AB164" s="2"/>
      <c r="AC164" s="4"/>
      <c r="AD164" s="2" t="s">
        <v>374</v>
      </c>
      <c r="AI164" s="1"/>
      <c r="AJ164" s="1"/>
      <c r="AK164" s="1"/>
    </row>
    <row r="165" spans="1:37" s="5" customFormat="1" ht="11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2"/>
      <c r="Z165" s="3"/>
      <c r="AA165" s="3"/>
      <c r="AB165" s="2"/>
      <c r="AC165" s="4"/>
      <c r="AD165" s="2" t="s">
        <v>375</v>
      </c>
      <c r="AI165" s="1"/>
      <c r="AJ165" s="1"/>
      <c r="AK165" s="1"/>
    </row>
    <row r="166" spans="1:37" s="5" customFormat="1" ht="11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2"/>
      <c r="Z166" s="3"/>
      <c r="AA166" s="3"/>
      <c r="AB166" s="2"/>
      <c r="AC166" s="4"/>
      <c r="AD166" s="2" t="s">
        <v>376</v>
      </c>
      <c r="AI166" s="1"/>
      <c r="AJ166" s="1"/>
      <c r="AK166" s="1"/>
    </row>
    <row r="167" spans="1:37" s="5" customFormat="1" ht="11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2"/>
      <c r="Z167" s="3"/>
      <c r="AA167" s="3"/>
      <c r="AB167" s="2"/>
      <c r="AC167" s="4"/>
      <c r="AD167" s="2" t="s">
        <v>377</v>
      </c>
      <c r="AI167" s="1"/>
      <c r="AJ167" s="1"/>
      <c r="AK167" s="1"/>
    </row>
    <row r="168" spans="1:37" s="5" customFormat="1" ht="11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2"/>
      <c r="Z168" s="3"/>
      <c r="AA168" s="3"/>
      <c r="AB168" s="2"/>
      <c r="AC168" s="4"/>
      <c r="AD168" s="2" t="s">
        <v>378</v>
      </c>
      <c r="AI168" s="1"/>
      <c r="AJ168" s="1"/>
      <c r="AK168" s="1"/>
    </row>
    <row r="169" spans="1:37" s="5" customFormat="1" ht="11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2"/>
      <c r="Z169" s="3"/>
      <c r="AA169" s="3"/>
      <c r="AB169" s="2"/>
      <c r="AC169" s="4"/>
      <c r="AD169" s="2" t="s">
        <v>379</v>
      </c>
      <c r="AI169" s="1"/>
      <c r="AJ169" s="1"/>
      <c r="AK169" s="1"/>
    </row>
    <row r="170" spans="1:37" s="5" customFormat="1" ht="11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2"/>
      <c r="Z170" s="3"/>
      <c r="AA170" s="3"/>
      <c r="AB170" s="2"/>
      <c r="AC170" s="4"/>
      <c r="AD170" s="2" t="s">
        <v>380</v>
      </c>
      <c r="AI170" s="1"/>
      <c r="AJ170" s="1"/>
      <c r="AK170" s="1"/>
    </row>
    <row r="171" spans="1:37" s="5" customFormat="1" ht="11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"/>
      <c r="Z171" s="3"/>
      <c r="AA171" s="3"/>
      <c r="AB171" s="2"/>
      <c r="AC171" s="4"/>
      <c r="AD171" s="2" t="s">
        <v>381</v>
      </c>
      <c r="AI171" s="1"/>
      <c r="AJ171" s="1"/>
      <c r="AK171" s="1"/>
    </row>
    <row r="172" spans="1:37" s="5" customFormat="1" ht="11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"/>
      <c r="Z172" s="3"/>
      <c r="AA172" s="3"/>
      <c r="AB172" s="2"/>
      <c r="AC172" s="4"/>
      <c r="AD172" s="2" t="s">
        <v>382</v>
      </c>
      <c r="AI172" s="1"/>
      <c r="AJ172" s="1"/>
      <c r="AK172" s="1"/>
    </row>
    <row r="173" spans="1:37" s="5" customFormat="1" ht="11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2"/>
      <c r="Z173" s="3"/>
      <c r="AA173" s="3"/>
      <c r="AB173" s="2"/>
      <c r="AC173" s="4"/>
      <c r="AD173" s="2" t="s">
        <v>383</v>
      </c>
      <c r="AI173" s="1"/>
      <c r="AJ173" s="1"/>
      <c r="AK173" s="1"/>
    </row>
    <row r="174" spans="1:37" s="5" customFormat="1" ht="11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2"/>
      <c r="Z174" s="3"/>
      <c r="AA174" s="3"/>
      <c r="AB174" s="2"/>
      <c r="AC174" s="4"/>
      <c r="AD174" s="2" t="s">
        <v>384</v>
      </c>
      <c r="AI174" s="1"/>
      <c r="AJ174" s="1"/>
      <c r="AK174" s="1"/>
    </row>
    <row r="175" spans="1:37" s="5" customFormat="1" ht="11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2"/>
      <c r="Z175" s="3"/>
      <c r="AA175" s="3"/>
      <c r="AB175" s="2"/>
      <c r="AC175" s="4"/>
      <c r="AD175" s="2" t="s">
        <v>385</v>
      </c>
      <c r="AI175" s="1"/>
      <c r="AJ175" s="1"/>
      <c r="AK175" s="1"/>
    </row>
    <row r="176" spans="1:37" s="5" customFormat="1" ht="11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2"/>
      <c r="Z176" s="3"/>
      <c r="AA176" s="3"/>
      <c r="AB176" s="2"/>
      <c r="AC176" s="4"/>
      <c r="AD176" s="2" t="s">
        <v>386</v>
      </c>
      <c r="AI176" s="1"/>
      <c r="AJ176" s="1"/>
      <c r="AK176" s="1"/>
    </row>
    <row r="177" spans="1:37" s="5" customFormat="1" ht="11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2"/>
      <c r="Z177" s="3"/>
      <c r="AA177" s="3"/>
      <c r="AB177" s="2"/>
      <c r="AC177" s="4"/>
      <c r="AD177" s="2" t="s">
        <v>387</v>
      </c>
      <c r="AI177" s="1"/>
      <c r="AJ177" s="1"/>
      <c r="AK177" s="1"/>
    </row>
    <row r="178" spans="1:37" s="5" customFormat="1" ht="11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2"/>
      <c r="Z178" s="3"/>
      <c r="AA178" s="3"/>
      <c r="AB178" s="2"/>
      <c r="AC178" s="4"/>
      <c r="AD178" s="2" t="s">
        <v>388</v>
      </c>
      <c r="AI178" s="1"/>
      <c r="AJ178" s="1"/>
      <c r="AK178" s="1"/>
    </row>
    <row r="179" spans="1:37" s="5" customFormat="1" ht="11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2"/>
      <c r="Z179" s="3"/>
      <c r="AA179" s="3"/>
      <c r="AB179" s="2"/>
      <c r="AC179" s="4"/>
      <c r="AD179" s="2" t="s">
        <v>389</v>
      </c>
      <c r="AI179" s="1"/>
      <c r="AJ179" s="1"/>
      <c r="AK179" s="1"/>
    </row>
    <row r="180" spans="1:37" s="5" customFormat="1" ht="11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2"/>
      <c r="Z180" s="3"/>
      <c r="AA180" s="3"/>
      <c r="AB180" s="2"/>
      <c r="AC180" s="4"/>
      <c r="AD180" s="2" t="s">
        <v>390</v>
      </c>
      <c r="AI180" s="1"/>
      <c r="AJ180" s="1"/>
      <c r="AK180" s="1"/>
    </row>
    <row r="181" spans="1:37" s="5" customFormat="1" ht="11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2"/>
      <c r="Z181" s="3"/>
      <c r="AA181" s="3"/>
      <c r="AB181" s="2"/>
      <c r="AC181" s="4"/>
      <c r="AD181" s="2" t="s">
        <v>391</v>
      </c>
      <c r="AI181" s="1"/>
      <c r="AJ181" s="1"/>
      <c r="AK181" s="1"/>
    </row>
    <row r="182" spans="1:37" s="5" customFormat="1" ht="11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2"/>
      <c r="Z182" s="3"/>
      <c r="AA182" s="3"/>
      <c r="AB182" s="2"/>
      <c r="AC182" s="4"/>
      <c r="AD182" s="2" t="s">
        <v>392</v>
      </c>
      <c r="AI182" s="1"/>
      <c r="AJ182" s="1"/>
      <c r="AK182" s="1"/>
    </row>
    <row r="183" spans="1:37" s="5" customFormat="1" ht="11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2"/>
      <c r="Z183" s="3"/>
      <c r="AA183" s="3"/>
      <c r="AB183" s="2"/>
      <c r="AC183" s="4"/>
      <c r="AD183" s="2" t="s">
        <v>393</v>
      </c>
      <c r="AI183" s="1"/>
      <c r="AJ183" s="1"/>
      <c r="AK183" s="1"/>
    </row>
    <row r="184" spans="1:37" s="5" customFormat="1" ht="11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2"/>
      <c r="Z184" s="3"/>
      <c r="AA184" s="3"/>
      <c r="AB184" s="2"/>
      <c r="AC184" s="4"/>
      <c r="AD184" s="2" t="s">
        <v>394</v>
      </c>
      <c r="AI184" s="1"/>
      <c r="AJ184" s="1"/>
      <c r="AK184" s="1"/>
    </row>
    <row r="185" spans="1:37" s="5" customFormat="1" ht="11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2"/>
      <c r="Z185" s="3"/>
      <c r="AA185" s="3"/>
      <c r="AB185" s="2"/>
      <c r="AC185" s="4"/>
      <c r="AD185" s="2" t="s">
        <v>395</v>
      </c>
      <c r="AI185" s="1"/>
      <c r="AJ185" s="1"/>
      <c r="AK185" s="1"/>
    </row>
    <row r="186" spans="1:37" s="5" customFormat="1" ht="11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2"/>
      <c r="Z186" s="3"/>
      <c r="AA186" s="3"/>
      <c r="AB186" s="2"/>
      <c r="AC186" s="4"/>
      <c r="AD186" s="2" t="s">
        <v>396</v>
      </c>
      <c r="AI186" s="1"/>
      <c r="AJ186" s="1"/>
      <c r="AK186" s="1"/>
    </row>
    <row r="187" spans="1:37" s="5" customFormat="1" ht="11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2"/>
      <c r="Z187" s="3"/>
      <c r="AA187" s="3"/>
      <c r="AB187" s="2"/>
      <c r="AC187" s="4"/>
      <c r="AD187" s="2" t="s">
        <v>397</v>
      </c>
      <c r="AI187" s="1"/>
      <c r="AJ187" s="1"/>
      <c r="AK187" s="1"/>
    </row>
    <row r="188" spans="1:37" s="5" customFormat="1" ht="11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2"/>
      <c r="Z188" s="3"/>
      <c r="AA188" s="3"/>
      <c r="AB188" s="2"/>
      <c r="AC188" s="4"/>
      <c r="AD188" s="2" t="s">
        <v>398</v>
      </c>
      <c r="AI188" s="1"/>
      <c r="AJ188" s="1"/>
      <c r="AK188" s="1"/>
    </row>
    <row r="189" spans="1:37" s="5" customFormat="1" ht="11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2"/>
      <c r="Z189" s="3"/>
      <c r="AA189" s="3"/>
      <c r="AB189" s="2"/>
      <c r="AC189" s="4"/>
      <c r="AD189" s="2" t="s">
        <v>399</v>
      </c>
      <c r="AI189" s="1"/>
      <c r="AJ189" s="1"/>
      <c r="AK189" s="1"/>
    </row>
    <row r="190" spans="1:37" s="5" customFormat="1" ht="11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2"/>
      <c r="Z190" s="3"/>
      <c r="AA190" s="3"/>
      <c r="AB190" s="2"/>
      <c r="AC190" s="4"/>
      <c r="AD190" s="2" t="s">
        <v>400</v>
      </c>
      <c r="AI190" s="1"/>
      <c r="AJ190" s="1"/>
      <c r="AK190" s="1"/>
    </row>
    <row r="191" spans="1:37" s="5" customFormat="1" ht="11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2"/>
      <c r="Z191" s="3"/>
      <c r="AA191" s="3"/>
      <c r="AB191" s="2"/>
      <c r="AC191" s="4"/>
      <c r="AD191" s="2" t="s">
        <v>401</v>
      </c>
      <c r="AI191" s="1"/>
      <c r="AJ191" s="1"/>
      <c r="AK191" s="1"/>
    </row>
    <row r="192" spans="1:37" s="5" customFormat="1" ht="11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2"/>
      <c r="Z192" s="3"/>
      <c r="AA192" s="3"/>
      <c r="AB192" s="2"/>
      <c r="AC192" s="4"/>
      <c r="AD192" s="2" t="s">
        <v>402</v>
      </c>
      <c r="AI192" s="1"/>
      <c r="AJ192" s="1"/>
      <c r="AK192" s="1"/>
    </row>
    <row r="193" spans="1:37" s="5" customFormat="1" ht="11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2"/>
      <c r="Z193" s="3"/>
      <c r="AA193" s="3"/>
      <c r="AB193" s="2"/>
      <c r="AC193" s="4"/>
      <c r="AD193" s="2" t="s">
        <v>403</v>
      </c>
      <c r="AI193" s="1"/>
      <c r="AJ193" s="1"/>
      <c r="AK193" s="1"/>
    </row>
    <row r="194" spans="1:37" s="5" customFormat="1" ht="11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2"/>
      <c r="Z194" s="3"/>
      <c r="AA194" s="3"/>
      <c r="AB194" s="2"/>
      <c r="AC194" s="4"/>
      <c r="AD194" s="2" t="s">
        <v>404</v>
      </c>
      <c r="AI194" s="1"/>
      <c r="AJ194" s="1"/>
      <c r="AK194" s="1"/>
    </row>
    <row r="195" spans="1:37" s="5" customFormat="1" ht="11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2"/>
      <c r="Z195" s="3"/>
      <c r="AA195" s="3"/>
      <c r="AB195" s="2"/>
      <c r="AC195" s="4"/>
      <c r="AD195" s="2" t="s">
        <v>405</v>
      </c>
      <c r="AI195" s="1"/>
      <c r="AJ195" s="1"/>
      <c r="AK195" s="1"/>
    </row>
    <row r="196" spans="1:37" s="5" customFormat="1" ht="11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2"/>
      <c r="Z196" s="3"/>
      <c r="AA196" s="3"/>
      <c r="AB196" s="2"/>
      <c r="AC196" s="4"/>
      <c r="AD196" s="2" t="s">
        <v>406</v>
      </c>
      <c r="AI196" s="1"/>
      <c r="AJ196" s="1"/>
      <c r="AK196" s="1"/>
    </row>
    <row r="197" spans="1:37" s="5" customFormat="1" ht="11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2"/>
      <c r="Z197" s="3"/>
      <c r="AA197" s="3"/>
      <c r="AB197" s="2"/>
      <c r="AC197" s="4"/>
      <c r="AD197" s="2" t="s">
        <v>407</v>
      </c>
      <c r="AI197" s="1"/>
      <c r="AJ197" s="1"/>
      <c r="AK197" s="1"/>
    </row>
    <row r="198" spans="1:37" s="5" customFormat="1" ht="11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2"/>
      <c r="Z198" s="3"/>
      <c r="AA198" s="3"/>
      <c r="AB198" s="2"/>
      <c r="AC198" s="4"/>
      <c r="AD198" s="2" t="s">
        <v>408</v>
      </c>
      <c r="AI198" s="1"/>
      <c r="AJ198" s="1"/>
      <c r="AK198" s="1"/>
    </row>
    <row r="199" spans="1:37" s="5" customFormat="1" ht="11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2"/>
      <c r="Z199" s="3"/>
      <c r="AA199" s="3"/>
      <c r="AB199" s="2"/>
      <c r="AC199" s="4"/>
      <c r="AD199" s="2" t="s">
        <v>409</v>
      </c>
      <c r="AI199" s="1"/>
      <c r="AJ199" s="1"/>
      <c r="AK199" s="1"/>
    </row>
    <row r="200" spans="1:37" s="5" customFormat="1" ht="11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2"/>
      <c r="Z200" s="3"/>
      <c r="AA200" s="3"/>
      <c r="AB200" s="2"/>
      <c r="AC200" s="4"/>
      <c r="AD200" s="2" t="s">
        <v>410</v>
      </c>
      <c r="AI200" s="1"/>
      <c r="AJ200" s="1"/>
      <c r="AK200" s="1"/>
    </row>
    <row r="201" spans="1:37" s="5" customFormat="1" ht="11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2"/>
      <c r="Z201" s="3"/>
      <c r="AA201" s="3"/>
      <c r="AB201" s="2"/>
      <c r="AC201" s="4"/>
      <c r="AD201" s="2" t="s">
        <v>411</v>
      </c>
      <c r="AI201" s="1"/>
      <c r="AJ201" s="1"/>
      <c r="AK201" s="1"/>
    </row>
    <row r="202" spans="1:37" s="5" customFormat="1" ht="11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2"/>
      <c r="Z202" s="3"/>
      <c r="AA202" s="3"/>
      <c r="AB202" s="2"/>
      <c r="AC202" s="4"/>
      <c r="AD202" s="2" t="s">
        <v>412</v>
      </c>
      <c r="AI202" s="1"/>
      <c r="AJ202" s="1"/>
      <c r="AK202" s="1"/>
    </row>
    <row r="203" spans="1:37" s="5" customFormat="1" ht="11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2"/>
      <c r="Z203" s="3"/>
      <c r="AA203" s="3"/>
      <c r="AB203" s="2"/>
      <c r="AC203" s="4"/>
      <c r="AD203" s="2" t="s">
        <v>413</v>
      </c>
      <c r="AI203" s="1"/>
      <c r="AJ203" s="1"/>
      <c r="AK203" s="1"/>
    </row>
    <row r="204" spans="1:37" s="5" customFormat="1" ht="11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2"/>
      <c r="Z204" s="3"/>
      <c r="AA204" s="3"/>
      <c r="AB204" s="2"/>
      <c r="AC204" s="4"/>
      <c r="AD204" s="2" t="s">
        <v>414</v>
      </c>
      <c r="AI204" s="1"/>
      <c r="AJ204" s="1"/>
      <c r="AK204" s="1"/>
    </row>
    <row r="205" spans="1:37" s="5" customFormat="1" ht="11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2"/>
      <c r="Z205" s="3"/>
      <c r="AA205" s="3"/>
      <c r="AB205" s="2"/>
      <c r="AC205" s="4"/>
      <c r="AD205" s="2" t="s">
        <v>415</v>
      </c>
      <c r="AI205" s="1"/>
      <c r="AJ205" s="1"/>
      <c r="AK205" s="1"/>
    </row>
    <row r="206" spans="1:37" s="5" customFormat="1" ht="11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2"/>
      <c r="Z206" s="3"/>
      <c r="AA206" s="3"/>
      <c r="AB206" s="2"/>
      <c r="AC206" s="4"/>
      <c r="AD206" s="2" t="s">
        <v>416</v>
      </c>
      <c r="AI206" s="1"/>
      <c r="AJ206" s="1"/>
      <c r="AK206" s="1"/>
    </row>
    <row r="207" spans="1:37" s="5" customFormat="1" ht="11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2"/>
      <c r="Z207" s="3"/>
      <c r="AA207" s="3"/>
      <c r="AB207" s="2"/>
      <c r="AC207" s="4"/>
      <c r="AD207" s="2" t="s">
        <v>417</v>
      </c>
      <c r="AI207" s="1"/>
      <c r="AJ207" s="1"/>
      <c r="AK207" s="1"/>
    </row>
    <row r="208" spans="1:37" s="5" customFormat="1" ht="11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2"/>
      <c r="Z208" s="3"/>
      <c r="AA208" s="3"/>
      <c r="AB208" s="2"/>
      <c r="AC208" s="4"/>
      <c r="AD208" s="2" t="s">
        <v>418</v>
      </c>
      <c r="AI208" s="1"/>
      <c r="AJ208" s="1"/>
      <c r="AK208" s="1"/>
    </row>
    <row r="209" spans="1:37" s="5" customFormat="1" ht="11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2"/>
      <c r="Z209" s="3"/>
      <c r="AA209" s="3"/>
      <c r="AB209" s="2"/>
      <c r="AC209" s="4"/>
      <c r="AD209" s="2" t="s">
        <v>419</v>
      </c>
      <c r="AI209" s="1"/>
      <c r="AJ209" s="1"/>
      <c r="AK209" s="1"/>
    </row>
    <row r="210" spans="1:37" s="5" customFormat="1" ht="11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2"/>
      <c r="Z210" s="3"/>
      <c r="AA210" s="3"/>
      <c r="AB210" s="2"/>
      <c r="AC210" s="4"/>
      <c r="AD210" s="2" t="s">
        <v>420</v>
      </c>
      <c r="AI210" s="1"/>
      <c r="AJ210" s="1"/>
      <c r="AK210" s="1"/>
    </row>
    <row r="211" spans="1:37" s="5" customFormat="1" ht="11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2"/>
      <c r="Z211" s="3"/>
      <c r="AA211" s="3"/>
      <c r="AB211" s="2"/>
      <c r="AC211" s="4"/>
      <c r="AD211" s="2" t="s">
        <v>421</v>
      </c>
      <c r="AI211" s="1"/>
      <c r="AJ211" s="1"/>
      <c r="AK211" s="1"/>
    </row>
    <row r="212" spans="1:37" s="5" customFormat="1" ht="11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2"/>
      <c r="Z212" s="3"/>
      <c r="AA212" s="3"/>
      <c r="AB212" s="2"/>
      <c r="AC212" s="4"/>
      <c r="AD212" s="2" t="s">
        <v>422</v>
      </c>
      <c r="AI212" s="1"/>
      <c r="AJ212" s="1"/>
      <c r="AK212" s="1"/>
    </row>
    <row r="213" spans="1:37" s="5" customFormat="1" ht="11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2"/>
      <c r="Z213" s="3"/>
      <c r="AA213" s="3"/>
      <c r="AB213" s="2"/>
      <c r="AC213" s="4"/>
      <c r="AD213" s="2" t="s">
        <v>423</v>
      </c>
      <c r="AI213" s="1"/>
      <c r="AJ213" s="1"/>
      <c r="AK213" s="1"/>
    </row>
    <row r="214" spans="1:37" s="5" customFormat="1" ht="11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2"/>
      <c r="Z214" s="3"/>
      <c r="AA214" s="3"/>
      <c r="AB214" s="2"/>
      <c r="AC214" s="4"/>
      <c r="AD214" s="2" t="s">
        <v>424</v>
      </c>
      <c r="AI214" s="1"/>
      <c r="AJ214" s="1"/>
      <c r="AK214" s="1"/>
    </row>
    <row r="215" spans="1:37" s="5" customFormat="1" ht="11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2"/>
      <c r="Z215" s="3"/>
      <c r="AA215" s="3"/>
      <c r="AB215" s="2"/>
      <c r="AC215" s="4"/>
      <c r="AD215" s="2" t="s">
        <v>425</v>
      </c>
      <c r="AI215" s="1"/>
      <c r="AJ215" s="1"/>
      <c r="AK215" s="1"/>
    </row>
    <row r="216" spans="1:37" s="5" customFormat="1" ht="11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2"/>
      <c r="Z216" s="3"/>
      <c r="AA216" s="3"/>
      <c r="AB216" s="2"/>
      <c r="AC216" s="4"/>
      <c r="AD216" s="2" t="s">
        <v>426</v>
      </c>
      <c r="AI216" s="1"/>
      <c r="AJ216" s="1"/>
      <c r="AK216" s="1"/>
    </row>
    <row r="217" spans="1:37" s="5" customFormat="1" ht="11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2"/>
      <c r="Z217" s="3"/>
      <c r="AA217" s="3"/>
      <c r="AB217" s="2"/>
      <c r="AC217" s="4"/>
      <c r="AD217" s="2" t="s">
        <v>427</v>
      </c>
      <c r="AI217" s="1"/>
      <c r="AJ217" s="1"/>
      <c r="AK217" s="1"/>
    </row>
    <row r="218" spans="1:37" s="5" customFormat="1" ht="11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2"/>
      <c r="Z218" s="3"/>
      <c r="AA218" s="3"/>
      <c r="AB218" s="2"/>
      <c r="AC218" s="4"/>
      <c r="AD218" s="2" t="s">
        <v>428</v>
      </c>
      <c r="AI218" s="1"/>
      <c r="AJ218" s="1"/>
      <c r="AK218" s="1"/>
    </row>
    <row r="219" spans="1:37" s="5" customFormat="1" ht="11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2"/>
      <c r="Z219" s="3"/>
      <c r="AA219" s="3"/>
      <c r="AB219" s="2"/>
      <c r="AC219" s="4"/>
      <c r="AD219" s="2" t="s">
        <v>429</v>
      </c>
      <c r="AI219" s="1"/>
      <c r="AJ219" s="1"/>
      <c r="AK219" s="1"/>
    </row>
    <row r="220" spans="1:37" s="5" customFormat="1" ht="11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2"/>
      <c r="Z220" s="3"/>
      <c r="AA220" s="3"/>
      <c r="AB220" s="2"/>
      <c r="AC220" s="4"/>
      <c r="AD220" s="2" t="s">
        <v>430</v>
      </c>
      <c r="AI220" s="1"/>
      <c r="AJ220" s="1"/>
      <c r="AK220" s="1"/>
    </row>
    <row r="221" spans="1:37" s="5" customFormat="1" ht="11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2"/>
      <c r="Z221" s="3"/>
      <c r="AA221" s="3"/>
      <c r="AB221" s="2"/>
      <c r="AC221" s="4"/>
      <c r="AD221" s="2" t="s">
        <v>431</v>
      </c>
      <c r="AI221" s="1"/>
      <c r="AJ221" s="1"/>
      <c r="AK221" s="1"/>
    </row>
    <row r="222" spans="1:37" s="5" customFormat="1" ht="11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2"/>
      <c r="Z222" s="3"/>
      <c r="AA222" s="3"/>
      <c r="AB222" s="2"/>
      <c r="AC222" s="4"/>
      <c r="AD222" s="2" t="s">
        <v>432</v>
      </c>
      <c r="AI222" s="1"/>
      <c r="AJ222" s="1"/>
      <c r="AK222" s="1"/>
    </row>
    <row r="223" spans="1:37" s="5" customFormat="1" ht="11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2"/>
      <c r="Z223" s="3"/>
      <c r="AA223" s="3"/>
      <c r="AB223" s="2"/>
      <c r="AC223" s="4"/>
      <c r="AD223" s="2" t="s">
        <v>433</v>
      </c>
      <c r="AI223" s="1"/>
      <c r="AJ223" s="1"/>
      <c r="AK223" s="1"/>
    </row>
    <row r="224" spans="1:37" s="5" customFormat="1" ht="11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2"/>
      <c r="Z224" s="3"/>
      <c r="AA224" s="3"/>
      <c r="AB224" s="2"/>
      <c r="AC224" s="4"/>
      <c r="AD224" s="2" t="s">
        <v>434</v>
      </c>
      <c r="AI224" s="1"/>
      <c r="AJ224" s="1"/>
      <c r="AK224" s="1"/>
    </row>
    <row r="225" spans="1:37" s="5" customFormat="1" ht="11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2"/>
      <c r="Z225" s="3"/>
      <c r="AA225" s="3"/>
      <c r="AB225" s="2"/>
      <c r="AC225" s="4"/>
      <c r="AD225" s="2" t="s">
        <v>435</v>
      </c>
      <c r="AI225" s="1"/>
      <c r="AJ225" s="1"/>
      <c r="AK225" s="1"/>
    </row>
    <row r="226" spans="1:37" s="5" customFormat="1" ht="11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2"/>
      <c r="Z226" s="3"/>
      <c r="AA226" s="3"/>
      <c r="AB226" s="2"/>
      <c r="AC226" s="4"/>
      <c r="AD226" s="2" t="s">
        <v>436</v>
      </c>
      <c r="AI226" s="1"/>
      <c r="AJ226" s="1"/>
      <c r="AK226" s="1"/>
    </row>
    <row r="227" spans="1:37" s="5" customFormat="1" ht="11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2"/>
      <c r="Z227" s="3"/>
      <c r="AA227" s="3"/>
      <c r="AB227" s="2"/>
      <c r="AC227" s="4"/>
      <c r="AD227" s="2" t="s">
        <v>437</v>
      </c>
      <c r="AI227" s="1"/>
      <c r="AJ227" s="1"/>
      <c r="AK227" s="1"/>
    </row>
    <row r="228" spans="1:37" s="5" customFormat="1" ht="11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2"/>
      <c r="Z228" s="3"/>
      <c r="AA228" s="3"/>
      <c r="AB228" s="2"/>
      <c r="AC228" s="4"/>
      <c r="AD228" s="2" t="s">
        <v>438</v>
      </c>
      <c r="AI228" s="1"/>
      <c r="AJ228" s="1"/>
      <c r="AK228" s="1"/>
    </row>
    <row r="229" spans="1:37" s="5" customFormat="1" ht="11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2"/>
      <c r="Z229" s="3"/>
      <c r="AA229" s="3"/>
      <c r="AB229" s="2"/>
      <c r="AC229" s="4"/>
      <c r="AD229" s="2" t="s">
        <v>439</v>
      </c>
      <c r="AI229" s="1"/>
      <c r="AJ229" s="1"/>
      <c r="AK229" s="1"/>
    </row>
    <row r="230" spans="1:37" s="5" customFormat="1" ht="11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2"/>
      <c r="Z230" s="3"/>
      <c r="AA230" s="3"/>
      <c r="AB230" s="2"/>
      <c r="AC230" s="4"/>
      <c r="AD230" s="2" t="s">
        <v>440</v>
      </c>
      <c r="AI230" s="1"/>
      <c r="AJ230" s="1"/>
      <c r="AK230" s="1"/>
    </row>
    <row r="231" spans="1:37" s="5" customFormat="1" ht="11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2"/>
      <c r="Z231" s="3"/>
      <c r="AA231" s="3"/>
      <c r="AB231" s="2"/>
      <c r="AC231" s="4"/>
      <c r="AD231" s="2" t="s">
        <v>441</v>
      </c>
      <c r="AI231" s="1"/>
      <c r="AJ231" s="1"/>
      <c r="AK231" s="1"/>
    </row>
    <row r="232" spans="1:37" s="5" customFormat="1" ht="11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2"/>
      <c r="Z232" s="3"/>
      <c r="AA232" s="3"/>
      <c r="AB232" s="2"/>
      <c r="AC232" s="4"/>
      <c r="AD232" s="2" t="s">
        <v>442</v>
      </c>
      <c r="AI232" s="1"/>
      <c r="AJ232" s="1"/>
      <c r="AK232" s="1"/>
    </row>
    <row r="233" spans="1:37" s="5" customFormat="1" ht="11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2"/>
      <c r="Z233" s="3"/>
      <c r="AA233" s="3"/>
      <c r="AB233" s="2"/>
      <c r="AC233" s="4"/>
      <c r="AD233" s="2" t="s">
        <v>443</v>
      </c>
      <c r="AI233" s="1"/>
      <c r="AJ233" s="1"/>
      <c r="AK233" s="1"/>
    </row>
    <row r="234" spans="1:37" s="5" customFormat="1" ht="11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2"/>
      <c r="Z234" s="3"/>
      <c r="AA234" s="3"/>
      <c r="AB234" s="2"/>
      <c r="AC234" s="4"/>
      <c r="AD234" s="2" t="s">
        <v>444</v>
      </c>
      <c r="AI234" s="1"/>
      <c r="AJ234" s="1"/>
      <c r="AK234" s="1"/>
    </row>
    <row r="235" spans="1:37" s="5" customFormat="1" ht="11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2"/>
      <c r="Z235" s="3"/>
      <c r="AA235" s="3"/>
      <c r="AB235" s="2"/>
      <c r="AC235" s="4"/>
      <c r="AD235" s="2" t="s">
        <v>445</v>
      </c>
      <c r="AI235" s="1"/>
      <c r="AJ235" s="1"/>
      <c r="AK235" s="1"/>
    </row>
    <row r="236" spans="1:37" s="5" customFormat="1" ht="11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2"/>
      <c r="Z236" s="3"/>
      <c r="AA236" s="3"/>
      <c r="AB236" s="2"/>
      <c r="AC236" s="4"/>
      <c r="AD236" s="2" t="s">
        <v>446</v>
      </c>
      <c r="AI236" s="1"/>
      <c r="AJ236" s="1"/>
      <c r="AK236" s="1"/>
    </row>
    <row r="237" spans="1:37" s="5" customFormat="1" ht="11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2"/>
      <c r="Z237" s="3"/>
      <c r="AA237" s="3"/>
      <c r="AB237" s="2"/>
      <c r="AC237" s="4"/>
      <c r="AD237" s="2" t="s">
        <v>447</v>
      </c>
      <c r="AI237" s="1"/>
      <c r="AJ237" s="1"/>
      <c r="AK237" s="1"/>
    </row>
    <row r="238" spans="1:37" s="5" customFormat="1" ht="11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2"/>
      <c r="Z238" s="3"/>
      <c r="AA238" s="3"/>
      <c r="AB238" s="2"/>
      <c r="AC238" s="4"/>
      <c r="AD238" s="2" t="s">
        <v>448</v>
      </c>
      <c r="AI238" s="1"/>
      <c r="AJ238" s="1"/>
      <c r="AK238" s="1"/>
    </row>
    <row r="239" spans="1:37" s="5" customFormat="1" ht="11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2"/>
      <c r="Z239" s="3"/>
      <c r="AA239" s="3"/>
      <c r="AB239" s="2"/>
      <c r="AC239" s="4"/>
      <c r="AD239" s="2" t="s">
        <v>449</v>
      </c>
      <c r="AI239" s="1"/>
      <c r="AJ239" s="1"/>
      <c r="AK239" s="1"/>
    </row>
    <row r="240" spans="1:37" s="5" customFormat="1" ht="11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2"/>
      <c r="Z240" s="3"/>
      <c r="AA240" s="3"/>
      <c r="AB240" s="2"/>
      <c r="AC240" s="4"/>
      <c r="AD240" s="2" t="s">
        <v>450</v>
      </c>
      <c r="AI240" s="1"/>
      <c r="AJ240" s="1"/>
      <c r="AK240" s="1"/>
    </row>
    <row r="241" spans="1:37" s="5" customFormat="1" ht="11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2"/>
      <c r="Z241" s="3"/>
      <c r="AA241" s="3"/>
      <c r="AB241" s="2"/>
      <c r="AC241" s="4"/>
      <c r="AD241" s="2" t="s">
        <v>451</v>
      </c>
      <c r="AI241" s="1"/>
      <c r="AJ241" s="1"/>
      <c r="AK241" s="1"/>
    </row>
    <row r="242" spans="1:37" s="5" customFormat="1" ht="11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2"/>
      <c r="Z242" s="3"/>
      <c r="AA242" s="3"/>
      <c r="AB242" s="2"/>
      <c r="AC242" s="4"/>
      <c r="AD242" s="2" t="s">
        <v>452</v>
      </c>
      <c r="AI242" s="1"/>
      <c r="AJ242" s="1"/>
      <c r="AK242" s="1"/>
    </row>
    <row r="243" spans="1:37" s="5" customFormat="1" ht="11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2"/>
      <c r="Z243" s="3"/>
      <c r="AA243" s="3"/>
      <c r="AB243" s="2"/>
      <c r="AC243" s="4"/>
      <c r="AD243" s="2" t="s">
        <v>453</v>
      </c>
      <c r="AI243" s="1"/>
      <c r="AJ243" s="1"/>
      <c r="AK243" s="1"/>
    </row>
    <row r="244" spans="1:37" s="5" customFormat="1" ht="11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2"/>
      <c r="Z244" s="3"/>
      <c r="AA244" s="3"/>
      <c r="AB244" s="2"/>
      <c r="AC244" s="4"/>
      <c r="AD244" s="2" t="s">
        <v>454</v>
      </c>
      <c r="AI244" s="1"/>
      <c r="AJ244" s="1"/>
      <c r="AK244" s="1"/>
    </row>
    <row r="245" spans="1:37" s="5" customFormat="1" ht="11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2"/>
      <c r="Z245" s="3"/>
      <c r="AA245" s="3"/>
      <c r="AB245" s="2"/>
      <c r="AC245" s="4"/>
      <c r="AD245" s="2" t="s">
        <v>455</v>
      </c>
      <c r="AI245" s="1"/>
      <c r="AJ245" s="1"/>
      <c r="AK245" s="1"/>
    </row>
    <row r="246" spans="1:37" s="5" customFormat="1" ht="11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2"/>
      <c r="Z246" s="3"/>
      <c r="AA246" s="3"/>
      <c r="AB246" s="2"/>
      <c r="AC246" s="4"/>
      <c r="AD246" s="2" t="s">
        <v>456</v>
      </c>
      <c r="AI246" s="1"/>
      <c r="AJ246" s="1"/>
      <c r="AK246" s="1"/>
    </row>
    <row r="247" spans="1:37" s="5" customFormat="1" ht="11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2"/>
      <c r="Z247" s="3"/>
      <c r="AA247" s="3"/>
      <c r="AB247" s="2"/>
      <c r="AC247" s="4"/>
      <c r="AD247" s="2" t="s">
        <v>457</v>
      </c>
      <c r="AI247" s="1"/>
      <c r="AJ247" s="1"/>
      <c r="AK247" s="1"/>
    </row>
    <row r="248" spans="1:37" s="5" customFormat="1" ht="11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2"/>
      <c r="Z248" s="3"/>
      <c r="AA248" s="3"/>
      <c r="AB248" s="2"/>
      <c r="AC248" s="4"/>
      <c r="AD248" s="2" t="s">
        <v>458</v>
      </c>
      <c r="AI248" s="1"/>
      <c r="AJ248" s="1"/>
      <c r="AK248" s="1"/>
    </row>
    <row r="249" spans="1:37" s="5" customFormat="1" ht="11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2"/>
      <c r="Z249" s="3"/>
      <c r="AA249" s="3"/>
      <c r="AB249" s="2"/>
      <c r="AC249" s="4"/>
      <c r="AD249" s="2" t="s">
        <v>459</v>
      </c>
      <c r="AI249" s="1"/>
      <c r="AJ249" s="1"/>
      <c r="AK249" s="1"/>
    </row>
    <row r="250" spans="1:37" s="5" customFormat="1" ht="11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2"/>
      <c r="Z250" s="3"/>
      <c r="AA250" s="3"/>
      <c r="AB250" s="2"/>
      <c r="AC250" s="4"/>
      <c r="AD250" s="2" t="s">
        <v>460</v>
      </c>
      <c r="AI250" s="1"/>
      <c r="AJ250" s="1"/>
      <c r="AK250" s="1"/>
    </row>
    <row r="251" spans="1:37" s="5" customFormat="1" ht="11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2"/>
      <c r="Z251" s="3"/>
      <c r="AA251" s="3"/>
      <c r="AB251" s="2"/>
      <c r="AC251" s="4"/>
      <c r="AD251" s="2" t="s">
        <v>461</v>
      </c>
      <c r="AI251" s="1"/>
      <c r="AJ251" s="1"/>
      <c r="AK251" s="1"/>
    </row>
    <row r="252" spans="1:37" s="5" customFormat="1" ht="11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2"/>
      <c r="Z252" s="3"/>
      <c r="AA252" s="3"/>
      <c r="AB252" s="2"/>
      <c r="AC252" s="4"/>
      <c r="AD252" s="2" t="s">
        <v>462</v>
      </c>
      <c r="AI252" s="1"/>
      <c r="AJ252" s="1"/>
      <c r="AK252" s="1"/>
    </row>
    <row r="253" spans="1:37" s="5" customFormat="1" ht="11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2"/>
      <c r="Z253" s="3"/>
      <c r="AA253" s="3"/>
      <c r="AB253" s="2"/>
      <c r="AC253" s="4"/>
      <c r="AD253" s="2" t="s">
        <v>463</v>
      </c>
      <c r="AI253" s="1"/>
      <c r="AJ253" s="1"/>
      <c r="AK253" s="1"/>
    </row>
    <row r="254" spans="1:37" s="5" customFormat="1" ht="11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2"/>
      <c r="Z254" s="3"/>
      <c r="AA254" s="3"/>
      <c r="AB254" s="2"/>
      <c r="AC254" s="4"/>
      <c r="AD254" s="2" t="s">
        <v>464</v>
      </c>
      <c r="AI254" s="1"/>
      <c r="AJ254" s="1"/>
      <c r="AK254" s="1"/>
    </row>
    <row r="255" spans="1:37" s="5" customFormat="1" ht="11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2"/>
      <c r="Z255" s="3"/>
      <c r="AA255" s="3"/>
      <c r="AB255" s="2"/>
      <c r="AC255" s="4"/>
      <c r="AD255" s="2" t="s">
        <v>465</v>
      </c>
      <c r="AI255" s="1"/>
      <c r="AJ255" s="1"/>
      <c r="AK255" s="1"/>
    </row>
    <row r="256" spans="1:37" s="5" customFormat="1" ht="11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2"/>
      <c r="Z256" s="3"/>
      <c r="AA256" s="3"/>
      <c r="AB256" s="2"/>
      <c r="AC256" s="4"/>
      <c r="AD256" s="2" t="s">
        <v>466</v>
      </c>
      <c r="AI256" s="1"/>
      <c r="AJ256" s="1"/>
      <c r="AK256" s="1"/>
    </row>
    <row r="257" spans="1:37" s="5" customFormat="1" ht="11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2"/>
      <c r="Z257" s="3"/>
      <c r="AA257" s="3"/>
      <c r="AB257" s="2"/>
      <c r="AC257" s="4"/>
      <c r="AD257" s="2" t="s">
        <v>467</v>
      </c>
      <c r="AI257" s="1"/>
      <c r="AJ257" s="1"/>
      <c r="AK257" s="1"/>
    </row>
    <row r="258" spans="1:37" s="5" customFormat="1" ht="11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2"/>
      <c r="Z258" s="3"/>
      <c r="AA258" s="3"/>
      <c r="AB258" s="2"/>
      <c r="AC258" s="4"/>
      <c r="AD258" s="2" t="s">
        <v>468</v>
      </c>
      <c r="AI258" s="1"/>
      <c r="AJ258" s="1"/>
      <c r="AK258" s="1"/>
    </row>
    <row r="259" spans="1:37" s="5" customFormat="1" ht="11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2"/>
      <c r="Z259" s="3"/>
      <c r="AA259" s="3"/>
      <c r="AB259" s="2"/>
      <c r="AC259" s="4"/>
      <c r="AD259" s="2" t="s">
        <v>469</v>
      </c>
      <c r="AI259" s="1"/>
      <c r="AJ259" s="1"/>
      <c r="AK259" s="1"/>
    </row>
    <row r="260" spans="1:37" s="5" customFormat="1" ht="11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"/>
      <c r="Z260" s="3"/>
      <c r="AA260" s="3"/>
      <c r="AB260" s="2"/>
      <c r="AC260" s="4"/>
      <c r="AD260" s="2" t="s">
        <v>470</v>
      </c>
      <c r="AI260" s="1"/>
      <c r="AJ260" s="1"/>
      <c r="AK260" s="1"/>
    </row>
    <row r="261" spans="1:37" s="5" customFormat="1" ht="11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"/>
      <c r="Z261" s="3"/>
      <c r="AA261" s="3"/>
      <c r="AB261" s="2"/>
      <c r="AC261" s="4"/>
      <c r="AD261" s="2" t="s">
        <v>471</v>
      </c>
      <c r="AI261" s="1"/>
      <c r="AJ261" s="1"/>
      <c r="AK261" s="1"/>
    </row>
    <row r="262" spans="1:37" s="5" customFormat="1" ht="11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2"/>
      <c r="Z262" s="3"/>
      <c r="AA262" s="3"/>
      <c r="AB262" s="2"/>
      <c r="AC262" s="4"/>
      <c r="AD262" s="2" t="s">
        <v>472</v>
      </c>
      <c r="AI262" s="1"/>
      <c r="AJ262" s="1"/>
      <c r="AK262" s="1"/>
    </row>
    <row r="263" spans="1:37" s="5" customFormat="1" ht="11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2"/>
      <c r="Z263" s="3"/>
      <c r="AA263" s="3"/>
      <c r="AB263" s="2"/>
      <c r="AC263" s="4"/>
      <c r="AD263" s="2" t="s">
        <v>473</v>
      </c>
      <c r="AI263" s="1"/>
      <c r="AJ263" s="1"/>
      <c r="AK263" s="1"/>
    </row>
    <row r="264" spans="1:37" s="5" customFormat="1" ht="11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2"/>
      <c r="Z264" s="3"/>
      <c r="AA264" s="3"/>
      <c r="AB264" s="2"/>
      <c r="AC264" s="4"/>
      <c r="AD264" s="2" t="s">
        <v>474</v>
      </c>
      <c r="AI264" s="1"/>
      <c r="AJ264" s="1"/>
      <c r="AK264" s="1"/>
    </row>
    <row r="265" spans="1:37" s="5" customFormat="1" ht="11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2"/>
      <c r="Z265" s="3"/>
      <c r="AA265" s="3"/>
      <c r="AB265" s="2"/>
      <c r="AC265" s="4"/>
      <c r="AD265" s="2" t="s">
        <v>475</v>
      </c>
      <c r="AI265" s="1"/>
      <c r="AJ265" s="1"/>
      <c r="AK265" s="1"/>
    </row>
    <row r="266" spans="1:37" s="5" customFormat="1" ht="11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2"/>
      <c r="Z266" s="3"/>
      <c r="AA266" s="3"/>
      <c r="AB266" s="2"/>
      <c r="AC266" s="4"/>
      <c r="AD266" s="2" t="s">
        <v>476</v>
      </c>
      <c r="AI266" s="1"/>
      <c r="AJ266" s="1"/>
      <c r="AK266" s="1"/>
    </row>
    <row r="267" spans="1:37" s="5" customFormat="1" ht="11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2"/>
      <c r="Z267" s="3"/>
      <c r="AA267" s="3"/>
      <c r="AB267" s="2"/>
      <c r="AC267" s="4"/>
      <c r="AD267" s="2" t="s">
        <v>477</v>
      </c>
      <c r="AI267" s="1"/>
      <c r="AJ267" s="1"/>
      <c r="AK267" s="1"/>
    </row>
    <row r="268" spans="1:37" s="5" customFormat="1" ht="11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2"/>
      <c r="Z268" s="3"/>
      <c r="AA268" s="3"/>
      <c r="AB268" s="2"/>
      <c r="AC268" s="4"/>
      <c r="AD268" s="2" t="s">
        <v>478</v>
      </c>
      <c r="AI268" s="1"/>
      <c r="AJ268" s="1"/>
      <c r="AK268" s="1"/>
    </row>
    <row r="269" spans="1:37" s="5" customFormat="1" ht="11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2"/>
      <c r="Z269" s="3"/>
      <c r="AA269" s="3"/>
      <c r="AB269" s="2"/>
      <c r="AC269" s="4"/>
      <c r="AD269" s="2" t="s">
        <v>479</v>
      </c>
      <c r="AI269" s="1"/>
      <c r="AJ269" s="1"/>
      <c r="AK269" s="1"/>
    </row>
    <row r="270" spans="1:37" s="5" customFormat="1" ht="11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2"/>
      <c r="Z270" s="3"/>
      <c r="AA270" s="3"/>
      <c r="AB270" s="2"/>
      <c r="AC270" s="4"/>
      <c r="AD270" s="2" t="s">
        <v>480</v>
      </c>
      <c r="AI270" s="1"/>
      <c r="AJ270" s="1"/>
      <c r="AK270" s="1"/>
    </row>
    <row r="271" spans="1:37" s="5" customFormat="1" ht="11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2"/>
      <c r="Z271" s="3"/>
      <c r="AA271" s="3"/>
      <c r="AB271" s="2"/>
      <c r="AC271" s="4"/>
      <c r="AD271" s="2" t="s">
        <v>481</v>
      </c>
      <c r="AI271" s="1"/>
      <c r="AJ271" s="1"/>
      <c r="AK271" s="1"/>
    </row>
    <row r="272" spans="1:37" s="5" customFormat="1" ht="11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2"/>
      <c r="Z272" s="3"/>
      <c r="AA272" s="3"/>
      <c r="AB272" s="2"/>
      <c r="AC272" s="4"/>
      <c r="AD272" s="2" t="s">
        <v>482</v>
      </c>
      <c r="AI272" s="1"/>
      <c r="AJ272" s="1"/>
      <c r="AK272" s="1"/>
    </row>
    <row r="273" spans="1:37" s="5" customFormat="1" ht="11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2"/>
      <c r="Z273" s="3"/>
      <c r="AA273" s="3"/>
      <c r="AB273" s="2"/>
      <c r="AC273" s="4"/>
      <c r="AD273" s="2" t="s">
        <v>483</v>
      </c>
      <c r="AI273" s="1"/>
      <c r="AJ273" s="1"/>
      <c r="AK273" s="1"/>
    </row>
    <row r="274" spans="1:37" s="5" customFormat="1" ht="11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2"/>
      <c r="Z274" s="3"/>
      <c r="AA274" s="3"/>
      <c r="AB274" s="2"/>
      <c r="AC274" s="4"/>
      <c r="AD274" s="2" t="s">
        <v>484</v>
      </c>
      <c r="AI274" s="1"/>
      <c r="AJ274" s="1"/>
      <c r="AK274" s="1"/>
    </row>
    <row r="275" spans="1:37" s="5" customFormat="1" ht="11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2"/>
      <c r="Z275" s="3"/>
      <c r="AA275" s="3"/>
      <c r="AB275" s="2"/>
      <c r="AC275" s="4"/>
      <c r="AD275" s="2" t="s">
        <v>485</v>
      </c>
      <c r="AI275" s="1"/>
      <c r="AJ275" s="1"/>
      <c r="AK275" s="1"/>
    </row>
    <row r="276" spans="1:37" s="5" customFormat="1" ht="11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2"/>
      <c r="Z276" s="3"/>
      <c r="AA276" s="3"/>
      <c r="AB276" s="2"/>
      <c r="AC276" s="4"/>
      <c r="AD276" s="2" t="s">
        <v>486</v>
      </c>
      <c r="AI276" s="1"/>
      <c r="AJ276" s="1"/>
      <c r="AK276" s="1"/>
    </row>
    <row r="277" spans="1:37" s="5" customFormat="1" ht="11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2"/>
      <c r="Z277" s="3"/>
      <c r="AA277" s="3"/>
      <c r="AB277" s="2"/>
      <c r="AC277" s="4"/>
      <c r="AD277" s="2" t="s">
        <v>487</v>
      </c>
      <c r="AI277" s="1"/>
      <c r="AJ277" s="1"/>
      <c r="AK277" s="1"/>
    </row>
    <row r="278" spans="1:37" s="5" customFormat="1" ht="11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2"/>
      <c r="Z278" s="3"/>
      <c r="AA278" s="3"/>
      <c r="AB278" s="2"/>
      <c r="AC278" s="4"/>
      <c r="AD278" s="2" t="s">
        <v>488</v>
      </c>
      <c r="AI278" s="1"/>
      <c r="AJ278" s="1"/>
      <c r="AK278" s="1"/>
    </row>
    <row r="279" spans="1:37" s="5" customFormat="1" ht="11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2"/>
      <c r="Z279" s="3"/>
      <c r="AA279" s="3"/>
      <c r="AB279" s="2"/>
      <c r="AC279" s="4"/>
      <c r="AD279" s="2" t="s">
        <v>489</v>
      </c>
      <c r="AI279" s="1"/>
      <c r="AJ279" s="1"/>
      <c r="AK279" s="1"/>
    </row>
    <row r="280" spans="1:37" s="5" customFormat="1" ht="11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2"/>
      <c r="Z280" s="3"/>
      <c r="AA280" s="3"/>
      <c r="AB280" s="2"/>
      <c r="AC280" s="4"/>
      <c r="AD280" s="2" t="s">
        <v>490</v>
      </c>
      <c r="AI280" s="1"/>
      <c r="AJ280" s="1"/>
      <c r="AK280" s="1"/>
    </row>
    <row r="281" spans="1:37" s="5" customFormat="1" ht="11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2"/>
      <c r="Z281" s="3"/>
      <c r="AA281" s="3"/>
      <c r="AB281" s="2"/>
      <c r="AC281" s="4"/>
      <c r="AD281" s="2" t="s">
        <v>491</v>
      </c>
      <c r="AI281" s="1"/>
      <c r="AJ281" s="1"/>
      <c r="AK281" s="1"/>
    </row>
    <row r="282" spans="1:37" s="5" customFormat="1" ht="11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2"/>
      <c r="Z282" s="3"/>
      <c r="AA282" s="3"/>
      <c r="AB282" s="2"/>
      <c r="AC282" s="4"/>
      <c r="AD282" s="2" t="s">
        <v>492</v>
      </c>
      <c r="AI282" s="1"/>
      <c r="AJ282" s="1"/>
      <c r="AK282" s="1"/>
    </row>
    <row r="283" spans="1:37" s="5" customFormat="1" ht="11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2"/>
      <c r="Z283" s="3"/>
      <c r="AA283" s="3"/>
      <c r="AB283" s="2"/>
      <c r="AC283" s="4"/>
      <c r="AD283" s="2" t="s">
        <v>493</v>
      </c>
      <c r="AI283" s="1"/>
      <c r="AJ283" s="1"/>
      <c r="AK283" s="1"/>
    </row>
    <row r="284" spans="1:37" s="5" customFormat="1" ht="11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2"/>
      <c r="Z284" s="3"/>
      <c r="AA284" s="3"/>
      <c r="AB284" s="2"/>
      <c r="AC284" s="4"/>
      <c r="AD284" s="2" t="s">
        <v>494</v>
      </c>
      <c r="AI284" s="1"/>
      <c r="AJ284" s="1"/>
      <c r="AK284" s="1"/>
    </row>
    <row r="285" spans="1:37" s="5" customFormat="1" ht="11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2"/>
      <c r="Z285" s="3"/>
      <c r="AA285" s="3"/>
      <c r="AB285" s="2"/>
      <c r="AC285" s="4"/>
      <c r="AD285" s="2" t="s">
        <v>495</v>
      </c>
      <c r="AI285" s="1"/>
      <c r="AJ285" s="1"/>
      <c r="AK285" s="1"/>
    </row>
    <row r="286" spans="1:37" s="5" customFormat="1" ht="11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2"/>
      <c r="Z286" s="3"/>
      <c r="AA286" s="3"/>
      <c r="AB286" s="2"/>
      <c r="AC286" s="4"/>
      <c r="AD286" s="2" t="s">
        <v>496</v>
      </c>
      <c r="AI286" s="1"/>
      <c r="AJ286" s="1"/>
      <c r="AK286" s="1"/>
    </row>
    <row r="287" spans="1:37" s="5" customFormat="1" ht="11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2"/>
      <c r="Z287" s="3"/>
      <c r="AA287" s="3"/>
      <c r="AB287" s="2"/>
      <c r="AC287" s="4"/>
      <c r="AD287" s="2" t="s">
        <v>497</v>
      </c>
      <c r="AI287" s="1"/>
      <c r="AJ287" s="1"/>
      <c r="AK287" s="1"/>
    </row>
    <row r="288" spans="1:37" s="5" customFormat="1" ht="11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2"/>
      <c r="Z288" s="3"/>
      <c r="AA288" s="3"/>
      <c r="AB288" s="2"/>
      <c r="AC288" s="4"/>
      <c r="AD288" s="2" t="s">
        <v>498</v>
      </c>
      <c r="AI288" s="1"/>
      <c r="AJ288" s="1"/>
      <c r="AK288" s="1"/>
    </row>
    <row r="289" spans="1:37" s="5" customFormat="1" ht="11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2"/>
      <c r="Z289" s="3"/>
      <c r="AA289" s="3"/>
      <c r="AB289" s="2"/>
      <c r="AC289" s="4"/>
      <c r="AD289" s="2" t="s">
        <v>499</v>
      </c>
      <c r="AI289" s="1"/>
      <c r="AJ289" s="1"/>
      <c r="AK289" s="1"/>
    </row>
    <row r="290" spans="1:37" s="5" customFormat="1" ht="11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2"/>
      <c r="Z290" s="3"/>
      <c r="AA290" s="3"/>
      <c r="AB290" s="2"/>
      <c r="AC290" s="4"/>
      <c r="AD290" s="2" t="s">
        <v>500</v>
      </c>
      <c r="AI290" s="1"/>
      <c r="AJ290" s="1"/>
      <c r="AK290" s="1"/>
    </row>
    <row r="291" spans="1:37" s="5" customFormat="1" ht="11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2"/>
      <c r="Z291" s="3"/>
      <c r="AA291" s="3"/>
      <c r="AB291" s="2"/>
      <c r="AC291" s="4"/>
      <c r="AD291" s="2" t="s">
        <v>501</v>
      </c>
      <c r="AI291" s="1"/>
      <c r="AJ291" s="1"/>
      <c r="AK291" s="1"/>
    </row>
    <row r="292" spans="1:37" s="5" customFormat="1" ht="11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2"/>
      <c r="Z292" s="3"/>
      <c r="AA292" s="3"/>
      <c r="AB292" s="2"/>
      <c r="AC292" s="4"/>
      <c r="AD292" s="2" t="s">
        <v>502</v>
      </c>
      <c r="AI292" s="1"/>
      <c r="AJ292" s="1"/>
      <c r="AK292" s="1"/>
    </row>
    <row r="293" spans="1:37" s="5" customFormat="1" ht="11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2"/>
      <c r="Z293" s="3"/>
      <c r="AA293" s="3"/>
      <c r="AB293" s="2"/>
      <c r="AC293" s="4"/>
      <c r="AD293" s="2" t="s">
        <v>503</v>
      </c>
      <c r="AI293" s="1"/>
      <c r="AJ293" s="1"/>
      <c r="AK293" s="1"/>
    </row>
    <row r="294" spans="1:37" s="5" customFormat="1" ht="11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2"/>
      <c r="Z294" s="3"/>
      <c r="AA294" s="3"/>
      <c r="AB294" s="2"/>
      <c r="AC294" s="4"/>
      <c r="AD294" s="2" t="s">
        <v>504</v>
      </c>
      <c r="AI294" s="1"/>
      <c r="AJ294" s="1"/>
      <c r="AK294" s="1"/>
    </row>
    <row r="295" spans="1:37" s="5" customFormat="1" ht="11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2"/>
      <c r="Z295" s="3"/>
      <c r="AA295" s="3"/>
      <c r="AB295" s="2"/>
      <c r="AC295" s="4"/>
      <c r="AD295" s="2" t="s">
        <v>505</v>
      </c>
      <c r="AI295" s="1"/>
      <c r="AJ295" s="1"/>
      <c r="AK295" s="1"/>
    </row>
    <row r="296" spans="1:37" s="5" customFormat="1" ht="11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2"/>
      <c r="Z296" s="3"/>
      <c r="AA296" s="3"/>
      <c r="AB296" s="2"/>
      <c r="AC296" s="4"/>
      <c r="AD296" s="2" t="s">
        <v>506</v>
      </c>
      <c r="AI296" s="1"/>
      <c r="AJ296" s="1"/>
      <c r="AK296" s="1"/>
    </row>
    <row r="297" spans="1:37" s="5" customFormat="1" ht="11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2"/>
      <c r="Z297" s="3"/>
      <c r="AA297" s="3"/>
      <c r="AB297" s="2"/>
      <c r="AC297" s="4"/>
      <c r="AD297" s="2" t="s">
        <v>507</v>
      </c>
      <c r="AI297" s="1"/>
      <c r="AJ297" s="1"/>
      <c r="AK297" s="1"/>
    </row>
    <row r="298" spans="1:37" s="5" customFormat="1" ht="11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2"/>
      <c r="Z298" s="3"/>
      <c r="AA298" s="3"/>
      <c r="AB298" s="2"/>
      <c r="AC298" s="4"/>
      <c r="AD298" s="2" t="s">
        <v>508</v>
      </c>
      <c r="AI298" s="1"/>
      <c r="AJ298" s="1"/>
      <c r="AK298" s="1"/>
    </row>
    <row r="299" spans="1:37" s="5" customFormat="1" ht="11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2"/>
      <c r="Z299" s="3"/>
      <c r="AA299" s="3"/>
      <c r="AB299" s="2"/>
      <c r="AC299" s="4"/>
      <c r="AD299" s="2" t="s">
        <v>509</v>
      </c>
      <c r="AI299" s="1"/>
      <c r="AJ299" s="1"/>
      <c r="AK299" s="1"/>
    </row>
    <row r="300" spans="1:37" s="5" customFormat="1" ht="11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2"/>
      <c r="Z300" s="3"/>
      <c r="AA300" s="3"/>
      <c r="AB300" s="2"/>
      <c r="AC300" s="4"/>
      <c r="AD300" s="2" t="s">
        <v>510</v>
      </c>
      <c r="AI300" s="1"/>
      <c r="AJ300" s="1"/>
      <c r="AK300" s="1"/>
    </row>
    <row r="301" spans="1:37" s="5" customFormat="1" ht="11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2"/>
      <c r="Z301" s="3"/>
      <c r="AA301" s="3"/>
      <c r="AB301" s="2"/>
      <c r="AC301" s="4"/>
      <c r="AD301" s="2" t="s">
        <v>511</v>
      </c>
      <c r="AI301" s="1"/>
      <c r="AJ301" s="1"/>
      <c r="AK301" s="1"/>
    </row>
    <row r="302" spans="1:37" s="5" customFormat="1" ht="11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2"/>
      <c r="Z302" s="3"/>
      <c r="AA302" s="3"/>
      <c r="AB302" s="2"/>
      <c r="AC302" s="4"/>
      <c r="AD302" s="2" t="s">
        <v>512</v>
      </c>
      <c r="AI302" s="1"/>
      <c r="AJ302" s="1"/>
      <c r="AK302" s="1"/>
    </row>
    <row r="303" spans="1:37" s="5" customFormat="1" ht="11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2"/>
      <c r="Z303" s="3"/>
      <c r="AA303" s="3"/>
      <c r="AB303" s="2"/>
      <c r="AC303" s="4"/>
      <c r="AD303" s="2" t="s">
        <v>513</v>
      </c>
      <c r="AI303" s="1"/>
      <c r="AJ303" s="1"/>
      <c r="AK303" s="1"/>
    </row>
  </sheetData>
  <sheetProtection selectLockedCells="1"/>
  <mergeCells count="72">
    <mergeCell ref="T49:W49"/>
    <mergeCell ref="Q49:S49"/>
    <mergeCell ref="B49:P49"/>
    <mergeCell ref="A3:B3"/>
    <mergeCell ref="C3:E3"/>
    <mergeCell ref="F3:K3"/>
    <mergeCell ref="L3:T3"/>
    <mergeCell ref="U3:W3"/>
    <mergeCell ref="L4:T4"/>
    <mergeCell ref="U4:W4"/>
    <mergeCell ref="A6:G6"/>
    <mergeCell ref="H6:O6"/>
    <mergeCell ref="P6:W6"/>
    <mergeCell ref="A5:G5"/>
    <mergeCell ref="H5:O5"/>
    <mergeCell ref="P5:W5"/>
    <mergeCell ref="A2:B2"/>
    <mergeCell ref="C2:E2"/>
    <mergeCell ref="F2:K2"/>
    <mergeCell ref="L2:T2"/>
    <mergeCell ref="U2:W2"/>
    <mergeCell ref="A4:B4"/>
    <mergeCell ref="C4:E4"/>
    <mergeCell ref="F4:K4"/>
    <mergeCell ref="A7:G7"/>
    <mergeCell ref="H7:O7"/>
    <mergeCell ref="P7:W7"/>
    <mergeCell ref="O31:W31"/>
    <mergeCell ref="A8:W8"/>
    <mergeCell ref="E14:T14"/>
    <mergeCell ref="M17:T17"/>
    <mergeCell ref="G19:L19"/>
    <mergeCell ref="G20:L20"/>
    <mergeCell ref="A22:W22"/>
    <mergeCell ref="A23:W23"/>
    <mergeCell ref="A25:W25"/>
    <mergeCell ref="A26:W26"/>
    <mergeCell ref="E28:W29"/>
    <mergeCell ref="A30:W30"/>
    <mergeCell ref="B46:P46"/>
    <mergeCell ref="Q46:S46"/>
    <mergeCell ref="T46:W46"/>
    <mergeCell ref="O32:W32"/>
    <mergeCell ref="E33:J33"/>
    <mergeCell ref="M33:T33"/>
    <mergeCell ref="E34:W34"/>
    <mergeCell ref="E35:L35"/>
    <mergeCell ref="E37:W37"/>
    <mergeCell ref="E39:W39"/>
    <mergeCell ref="A43:W43"/>
    <mergeCell ref="B45:P45"/>
    <mergeCell ref="Q45:S45"/>
    <mergeCell ref="T45:W45"/>
    <mergeCell ref="B47:P47"/>
    <mergeCell ref="Q47:S47"/>
    <mergeCell ref="T47:W47"/>
    <mergeCell ref="T48:W48"/>
    <mergeCell ref="B48:P48"/>
    <mergeCell ref="Q48:S48"/>
    <mergeCell ref="B51:P51"/>
    <mergeCell ref="T51:W51"/>
    <mergeCell ref="B52:P52"/>
    <mergeCell ref="T52:W52"/>
    <mergeCell ref="B53:P53"/>
    <mergeCell ref="T53:W53"/>
    <mergeCell ref="A54:W54"/>
    <mergeCell ref="J56:Q56"/>
    <mergeCell ref="D60:H60"/>
    <mergeCell ref="J60:Q60"/>
    <mergeCell ref="D61:H61"/>
    <mergeCell ref="R60:Y60"/>
    <mergeCell ref="S56:Z56"/>
  </mergeCells>
  <pageMargins left="0.25" right="0.25" top="0.75" bottom="0.75" header="0.3" footer="0.3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TDSheet</vt:lpstr>
      <vt:lpstr>кому</vt:lpstr>
      <vt:lpstr>Контрагенты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</dc:creator>
  <cp:lastModifiedBy>Никита Литвинов</cp:lastModifiedBy>
  <cp:lastPrinted>2025-02-04T12:10:40Z</cp:lastPrinted>
  <dcterms:created xsi:type="dcterms:W3CDTF">2015-06-29T12:58:28Z</dcterms:created>
  <dcterms:modified xsi:type="dcterms:W3CDTF">2025-03-17T08:23:23Z</dcterms:modified>
</cp:coreProperties>
</file>